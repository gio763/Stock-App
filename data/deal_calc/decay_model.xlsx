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io.roca/Desktop/Business Affairs Updates/"/>
    </mc:Choice>
  </mc:AlternateContent>
  <xr:revisionPtr revIDLastSave="0" documentId="13_ncr:1_{3ABABD4D-0443-5A42-8AD1-476F4C446132}" xr6:coauthVersionLast="47" xr6:coauthVersionMax="47" xr10:uidLastSave="{00000000-0000-0000-0000-000000000000}"/>
  <bookViews>
    <workbookView xWindow="720" yWindow="980" windowWidth="27640" windowHeight="15420" xr2:uid="{B1D6EBAF-6E93-7042-898B-3B9AB72A9B97}"/>
  </bookViews>
  <sheets>
    <sheet name="Sheet1" sheetId="1" r:id="rId1"/>
  </sheets>
  <definedNames>
    <definedName name="_xlnm.Print_Area" localSheetId="0">Sheet1!$AC$3:$AC$57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6" i="1" l="1"/>
  <c r="AP56" i="1"/>
  <c r="AK56" i="1"/>
  <c r="AF56" i="1"/>
  <c r="AA56" i="1"/>
  <c r="V56" i="1"/>
  <c r="AA57" i="1"/>
  <c r="Q56" i="1"/>
  <c r="D55" i="1"/>
  <c r="J3" i="1"/>
  <c r="K3" i="1"/>
  <c r="AW3" i="1"/>
  <c r="AR3" i="1"/>
  <c r="AR4" i="1" s="1"/>
  <c r="AR5" i="1" s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M3" i="1"/>
  <c r="AM4" i="1" s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H3" i="1"/>
  <c r="AC3" i="1"/>
  <c r="AC4" i="1" s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5" i="1" s="1"/>
  <c r="X3" i="1"/>
  <c r="S3" i="1"/>
  <c r="S4" i="1" s="1"/>
  <c r="S5" i="1" s="1"/>
  <c r="S6" i="1" s="1"/>
  <c r="N3" i="1"/>
  <c r="M3" i="1"/>
  <c r="L3" i="1" l="1"/>
  <c r="O3" i="1" s="1"/>
  <c r="AR57" i="1"/>
  <c r="AH4" i="1"/>
  <c r="AH5" i="1" s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W4" i="1"/>
  <c r="AW5" i="1" s="1"/>
  <c r="AW6" i="1" s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M57" i="1"/>
  <c r="AC57" i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S7" i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AQ3" i="1" l="1"/>
  <c r="AP3" i="1" s="1"/>
  <c r="R3" i="1"/>
  <c r="Q3" i="1" s="1"/>
  <c r="AW57" i="1"/>
  <c r="AH57" i="1"/>
  <c r="AG3" i="1"/>
  <c r="AF3" i="1" s="1"/>
  <c r="W3" i="1"/>
  <c r="V3" i="1" s="1"/>
  <c r="AB3" i="1"/>
  <c r="AV3" i="1"/>
  <c r="AU3" i="1" s="1"/>
  <c r="AL3" i="1"/>
  <c r="AK3" i="1" s="1"/>
  <c r="X57" i="1"/>
  <c r="S57" i="1"/>
  <c r="AV4" i="1" l="1"/>
  <c r="AV5" i="1" s="1"/>
  <c r="AV6" i="1" s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Q4" i="1"/>
  <c r="AQ5" i="1" s="1"/>
  <c r="AQ6" i="1" s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G4" i="1"/>
  <c r="AG5" i="1" s="1"/>
  <c r="AG6" i="1" s="1"/>
  <c r="AG7" i="1" s="1"/>
  <c r="AG8" i="1" s="1"/>
  <c r="AG9" i="1" s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G32" i="1" s="1"/>
  <c r="AG33" i="1" s="1"/>
  <c r="AG34" i="1" s="1"/>
  <c r="AG35" i="1" s="1"/>
  <c r="AG36" i="1" s="1"/>
  <c r="AG37" i="1" s="1"/>
  <c r="AG38" i="1" s="1"/>
  <c r="AG39" i="1" s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A3" i="1"/>
  <c r="W4" i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AZ3" i="1"/>
  <c r="AZ4" i="1" s="1"/>
  <c r="AZ5" i="1" s="1"/>
  <c r="AZ6" i="1" s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AL4" i="1"/>
  <c r="AL5" i="1" s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P4" i="1" l="1"/>
  <c r="AP5" i="1" s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7" i="1" s="1"/>
  <c r="AQ57" i="1"/>
  <c r="AQ58" i="1" s="1"/>
  <c r="AQ59" i="1" s="1"/>
  <c r="AQ60" i="1" s="1"/>
  <c r="AQ61" i="1" s="1"/>
  <c r="AQ62" i="1" s="1"/>
  <c r="AQ63" i="1" s="1"/>
  <c r="AQ64" i="1" s="1"/>
  <c r="AQ65" i="1" s="1"/>
  <c r="AQ66" i="1" s="1"/>
  <c r="AV57" i="1"/>
  <c r="AV58" i="1" s="1"/>
  <c r="AV59" i="1" s="1"/>
  <c r="AV60" i="1" s="1"/>
  <c r="AV61" i="1" s="1"/>
  <c r="AV62" i="1" s="1"/>
  <c r="AV63" i="1" s="1"/>
  <c r="AV64" i="1" s="1"/>
  <c r="AV65" i="1" s="1"/>
  <c r="AV66" i="1" s="1"/>
  <c r="AU4" i="1"/>
  <c r="AU5" i="1" s="1"/>
  <c r="AU6" i="1" s="1"/>
  <c r="AU7" i="1" s="1"/>
  <c r="AU8" i="1" s="1"/>
  <c r="AU9" i="1" s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7" i="1" s="1"/>
  <c r="AU58" i="1" s="1"/>
  <c r="AU59" i="1" s="1"/>
  <c r="AU60" i="1" s="1"/>
  <c r="AU61" i="1" s="1"/>
  <c r="AU62" i="1" s="1"/>
  <c r="AU63" i="1" s="1"/>
  <c r="AU64" i="1" s="1"/>
  <c r="AU65" i="1" s="1"/>
  <c r="AU66" i="1" s="1"/>
  <c r="AK4" i="1"/>
  <c r="AK5" i="1" s="1"/>
  <c r="AK6" i="1" s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7" i="1" s="1"/>
  <c r="AG57" i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B57" i="1"/>
  <c r="AB58" i="1" s="1"/>
  <c r="AB59" i="1" s="1"/>
  <c r="AB60" i="1" s="1"/>
  <c r="AB61" i="1" s="1"/>
  <c r="AB62" i="1" s="1"/>
  <c r="AB63" i="1" s="1"/>
  <c r="AB64" i="1" s="1"/>
  <c r="AB65" i="1" s="1"/>
  <c r="AB66" i="1" s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F4" i="1"/>
  <c r="AF5" i="1" s="1"/>
  <c r="AF6" i="1" s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7" i="1" s="1"/>
  <c r="W57" i="1"/>
  <c r="W58" i="1" s="1"/>
  <c r="W59" i="1" s="1"/>
  <c r="W60" i="1" s="1"/>
  <c r="W61" i="1" s="1"/>
  <c r="W62" i="1" s="1"/>
  <c r="W63" i="1" s="1"/>
  <c r="W64" i="1" s="1"/>
  <c r="W65" i="1" s="1"/>
  <c r="W66" i="1" s="1"/>
  <c r="V4" i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7" i="1" s="1"/>
  <c r="AZ57" i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R57" i="1"/>
  <c r="R58" i="1" s="1"/>
  <c r="R59" i="1" s="1"/>
  <c r="R60" i="1" s="1"/>
  <c r="R61" i="1" s="1"/>
  <c r="R62" i="1" s="1"/>
  <c r="R63" i="1" s="1"/>
  <c r="R64" i="1" s="1"/>
  <c r="R65" i="1" s="1"/>
  <c r="R66" i="1" s="1"/>
  <c r="AL57" i="1"/>
  <c r="AP58" i="1" l="1"/>
  <c r="AP59" i="1" s="1"/>
  <c r="AP60" i="1" s="1"/>
  <c r="AP61" i="1" s="1"/>
  <c r="AP62" i="1" s="1"/>
  <c r="AP63" i="1" s="1"/>
  <c r="AP64" i="1" s="1"/>
  <c r="AP65" i="1" s="1"/>
  <c r="AP66" i="1" s="1"/>
  <c r="AV67" i="1"/>
  <c r="AQ67" i="1"/>
  <c r="AF58" i="1"/>
  <c r="AF59" i="1" s="1"/>
  <c r="AF60" i="1" s="1"/>
  <c r="AF61" i="1" s="1"/>
  <c r="AF62" i="1" s="1"/>
  <c r="AF63" i="1" s="1"/>
  <c r="AF64" i="1" s="1"/>
  <c r="AF65" i="1" s="1"/>
  <c r="AF66" i="1" s="1"/>
  <c r="W67" i="1"/>
  <c r="V58" i="1"/>
  <c r="V59" i="1" s="1"/>
  <c r="V60" i="1" s="1"/>
  <c r="V61" i="1" s="1"/>
  <c r="V62" i="1" s="1"/>
  <c r="V63" i="1" s="1"/>
  <c r="V64" i="1" s="1"/>
  <c r="V65" i="1" s="1"/>
  <c r="V66" i="1" s="1"/>
  <c r="AA58" i="1"/>
  <c r="AA59" i="1" s="1"/>
  <c r="AA60" i="1" s="1"/>
  <c r="AA61" i="1" s="1"/>
  <c r="AA62" i="1" s="1"/>
  <c r="AA63" i="1" s="1"/>
  <c r="AA64" i="1" s="1"/>
  <c r="AA65" i="1" s="1"/>
  <c r="AA66" i="1" s="1"/>
  <c r="R67" i="1"/>
  <c r="AL58" i="1"/>
  <c r="AL59" i="1" s="1"/>
  <c r="AL60" i="1" s="1"/>
  <c r="AL61" i="1" s="1"/>
  <c r="AL62" i="1" s="1"/>
  <c r="AL63" i="1" s="1"/>
  <c r="AL64" i="1" s="1"/>
  <c r="AL65" i="1" s="1"/>
  <c r="AL66" i="1" s="1"/>
  <c r="AB67" i="1"/>
  <c r="AK58" i="1" l="1"/>
  <c r="AK59" i="1" s="1"/>
  <c r="AK60" i="1" s="1"/>
  <c r="AK61" i="1" s="1"/>
  <c r="AK62" i="1" s="1"/>
  <c r="AK63" i="1" s="1"/>
  <c r="AK64" i="1" s="1"/>
  <c r="AK65" i="1" s="1"/>
  <c r="AK66" i="1" s="1"/>
  <c r="AL67" i="1"/>
  <c r="Q57" i="1"/>
  <c r="Q58" i="1" l="1"/>
  <c r="Q59" i="1" l="1"/>
  <c r="Q60" i="1" l="1"/>
  <c r="Q61" i="1" l="1"/>
  <c r="Q62" i="1" l="1"/>
  <c r="Q63" i="1" l="1"/>
  <c r="Q64" i="1" l="1"/>
  <c r="Q65" i="1" l="1"/>
  <c r="Q66" i="1" l="1"/>
</calcChain>
</file>

<file path=xl/sharedStrings.xml><?xml version="1.0" encoding="utf-8"?>
<sst xmlns="http://schemas.openxmlformats.org/spreadsheetml/2006/main" count="63" uniqueCount="35">
  <si>
    <t>Weeks</t>
  </si>
  <si>
    <t>Country</t>
  </si>
  <si>
    <t xml:space="preserve">Dance, Electronic, Electronica </t>
  </si>
  <si>
    <t>J-Pop &amp; K-Pop</t>
  </si>
  <si>
    <t>Pop</t>
  </si>
  <si>
    <t>Rock</t>
  </si>
  <si>
    <t>Singer/Songwriter</t>
  </si>
  <si>
    <t>Urban</t>
  </si>
  <si>
    <t>Other</t>
  </si>
  <si>
    <t>Album Sales</t>
  </si>
  <si>
    <t>Track Sales</t>
  </si>
  <si>
    <t>Audio Streaming</t>
  </si>
  <si>
    <t>Video Streaming</t>
  </si>
  <si>
    <t>Total Streaming</t>
  </si>
  <si>
    <t>Audio Streaming (0.0037 Blended)</t>
  </si>
  <si>
    <t>Video Streaming (0.002)</t>
  </si>
  <si>
    <t>TOTAL REVENUE</t>
  </si>
  <si>
    <t>Year 1</t>
  </si>
  <si>
    <t>Year 2</t>
  </si>
  <si>
    <t>Year 3</t>
  </si>
  <si>
    <t xml:space="preserve">Year 4 </t>
  </si>
  <si>
    <t>Year 5</t>
  </si>
  <si>
    <t>Year 6</t>
  </si>
  <si>
    <t>Year 7</t>
  </si>
  <si>
    <t>Year 8</t>
  </si>
  <si>
    <t>Year 9</t>
  </si>
  <si>
    <t>Year 10</t>
  </si>
  <si>
    <t>Ten Year Total</t>
  </si>
  <si>
    <t>Revenue</t>
  </si>
  <si>
    <t>Rates</t>
  </si>
  <si>
    <t>Deal Cost</t>
  </si>
  <si>
    <t>Artist Royalty Rate</t>
  </si>
  <si>
    <t>Label Recoup %</t>
  </si>
  <si>
    <t>Cash Flow</t>
  </si>
  <si>
    <t>Year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</si>
</sst>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3" fontId="3" fillId="0" borderId="0" xfId="0" applyNumberFormat="1" applyFont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3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10" fontId="4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4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3" fontId="5" fillId="0" borderId="0" xfId="0" applyNumberFormat="1" applyFont="1"/>
    <xf numFmtId="44" fontId="4" fillId="0" borderId="0" xfId="1" applyFont="1"/>
    <xf numFmtId="164" fontId="3" fillId="0" borderId="1" xfId="1" applyNumberFormat="1" applyFont="1" applyBorder="1"/>
    <xf numFmtId="3" fontId="5" fillId="0" borderId="0" xfId="0" applyNumberFormat="1" applyFont="1" applyAlignment="1">
      <alignment horizontal="center"/>
    </xf>
    <xf numFmtId="3" fontId="4" fillId="0" borderId="0" xfId="0" applyNumberFormat="1" applyFont="1"/>
    <xf numFmtId="3" fontId="3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165" fontId="3" fillId="0" borderId="0" xfId="0" applyNumberFormat="1" applyFont="1"/>
    <xf numFmtId="166" fontId="3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/>
    <xf numFmtId="44" fontId="3" fillId="0" borderId="0" xfId="0" applyNumberFormat="1" applyFont="1"/>
    <xf numFmtId="165" fontId="3" fillId="0" borderId="1" xfId="0" applyNumberFormat="1" applyFont="1" applyBorder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Audio Streaming By Genre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Country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Sheet1!$S$3:$S$55</c:f>
              <c:numCache>
                <c:formatCode>#,##0</c:formatCode>
                <c:ptCount val="53"/>
                <c:pt idx="0">
                  <c:v>5000000</c:v>
                </c:pt>
                <c:pt idx="1">
                  <c:v>3442178.01</c:v>
                </c:pt>
                <c:pt idx="2">
                  <c:v>2913233.1547863763</c:v>
                </c:pt>
                <c:pt idx="3">
                  <c:v>2608066.4932912397</c:v>
                </c:pt>
                <c:pt idx="4">
                  <c:v>2337401.2717674137</c:v>
                </c:pt>
                <c:pt idx="5">
                  <c:v>2036903.709084512</c:v>
                </c:pt>
                <c:pt idx="6">
                  <c:v>2022470.487846676</c:v>
                </c:pt>
                <c:pt idx="7">
                  <c:v>1942865.9098945672</c:v>
                </c:pt>
                <c:pt idx="8">
                  <c:v>1869241.1966399718</c:v>
                </c:pt>
                <c:pt idx="9">
                  <c:v>1792569.4182788781</c:v>
                </c:pt>
                <c:pt idx="10">
                  <c:v>1687788.4638338184</c:v>
                </c:pt>
                <c:pt idx="11">
                  <c:v>1636578.7238335975</c:v>
                </c:pt>
                <c:pt idx="12">
                  <c:v>1620219.7922235357</c:v>
                </c:pt>
                <c:pt idx="13">
                  <c:v>1518981.0503402995</c:v>
                </c:pt>
                <c:pt idx="14">
                  <c:v>1430616.1596278993</c:v>
                </c:pt>
                <c:pt idx="15">
                  <c:v>1452231.2790978383</c:v>
                </c:pt>
                <c:pt idx="16">
                  <c:v>1250058.1318956548</c:v>
                </c:pt>
                <c:pt idx="17">
                  <c:v>1189316.6422126661</c:v>
                </c:pt>
                <c:pt idx="18">
                  <c:v>1159811.1853438059</c:v>
                </c:pt>
                <c:pt idx="19">
                  <c:v>1137620.3172872879</c:v>
                </c:pt>
                <c:pt idx="20">
                  <c:v>1070069.4228150276</c:v>
                </c:pt>
                <c:pt idx="21">
                  <c:v>1032421.5801487154</c:v>
                </c:pt>
                <c:pt idx="22">
                  <c:v>1028524.7265752972</c:v>
                </c:pt>
                <c:pt idx="23">
                  <c:v>960712.95586088963</c:v>
                </c:pt>
                <c:pt idx="24">
                  <c:v>938065.55248881073</c:v>
                </c:pt>
                <c:pt idx="25">
                  <c:v>927402.19644617045</c:v>
                </c:pt>
                <c:pt idx="26">
                  <c:v>934396.9670722856</c:v>
                </c:pt>
                <c:pt idx="27">
                  <c:v>915255.10142182407</c:v>
                </c:pt>
                <c:pt idx="28">
                  <c:v>878879.03426397638</c:v>
                </c:pt>
                <c:pt idx="29">
                  <c:v>885694.45114461216</c:v>
                </c:pt>
                <c:pt idx="30">
                  <c:v>872471.23758444132</c:v>
                </c:pt>
                <c:pt idx="31">
                  <c:v>864318.82446183288</c:v>
                </c:pt>
                <c:pt idx="32">
                  <c:v>850524.9416695839</c:v>
                </c:pt>
                <c:pt idx="33">
                  <c:v>834562.51665448851</c:v>
                </c:pt>
                <c:pt idx="34">
                  <c:v>821828.44797986804</c:v>
                </c:pt>
                <c:pt idx="35">
                  <c:v>800762.61306124309</c:v>
                </c:pt>
                <c:pt idx="36">
                  <c:v>801056.09976579354</c:v>
                </c:pt>
                <c:pt idx="37">
                  <c:v>775147.73138030805</c:v>
                </c:pt>
                <c:pt idx="38">
                  <c:v>767396.254066505</c:v>
                </c:pt>
                <c:pt idx="39">
                  <c:v>759722.29152583994</c:v>
                </c:pt>
                <c:pt idx="40">
                  <c:v>752125.06861058157</c:v>
                </c:pt>
                <c:pt idx="41">
                  <c:v>744603.81792447576</c:v>
                </c:pt>
                <c:pt idx="42">
                  <c:v>737157.77974523103</c:v>
                </c:pt>
                <c:pt idx="43">
                  <c:v>729786.2019477787</c:v>
                </c:pt>
                <c:pt idx="44">
                  <c:v>722488.33992830093</c:v>
                </c:pt>
                <c:pt idx="45">
                  <c:v>715263.45652901789</c:v>
                </c:pt>
                <c:pt idx="46">
                  <c:v>708110.82196372771</c:v>
                </c:pt>
                <c:pt idx="47">
                  <c:v>701029.7137440904</c:v>
                </c:pt>
                <c:pt idx="48">
                  <c:v>694019.41660664952</c:v>
                </c:pt>
                <c:pt idx="49">
                  <c:v>687079.22244058305</c:v>
                </c:pt>
                <c:pt idx="50">
                  <c:v>680208.43021617725</c:v>
                </c:pt>
                <c:pt idx="51">
                  <c:v>673406.34591401543</c:v>
                </c:pt>
                <c:pt idx="52">
                  <c:v>666672.2824548753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B2-7149-99C0-7A99974F3EE6}"/>
            </c:ext>
          </c:extLst>
        </c:ser>
        <c:ser>
          <c:idx val="2"/>
          <c:order val="1"/>
          <c:tx>
            <c:v>Dance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Sheet1!$X$3:$X$55</c:f>
            </c:numRef>
          </c:val>
          <c:smooth val="0"/>
          <c:extLst>
            <c:ext xmlns:c16="http://schemas.microsoft.com/office/drawing/2014/chart" uri="{C3380CC4-5D6E-409C-BE32-E72D297353CC}">
              <c16:uniqueId val="{00000002-D7B2-7149-99C0-7A99974F3EE6}"/>
            </c:ext>
          </c:extLst>
        </c:ser>
        <c:ser>
          <c:idx val="3"/>
          <c:order val="2"/>
          <c:tx>
            <c:v>K Pop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Sheet1!$AC$3:$AC$55</c:f>
              <c:numCache>
                <c:formatCode>#,##0</c:formatCode>
                <c:ptCount val="53"/>
                <c:pt idx="0">
                  <c:v>5000000</c:v>
                </c:pt>
                <c:pt idx="1">
                  <c:v>4073763.8149999999</c:v>
                </c:pt>
                <c:pt idx="2">
                  <c:v>2978108.1552785002</c:v>
                </c:pt>
                <c:pt idx="3">
                  <c:v>2543001.5535487183</c:v>
                </c:pt>
                <c:pt idx="4">
                  <c:v>2034017.3538674524</c:v>
                </c:pt>
                <c:pt idx="5">
                  <c:v>1764446.1293826175</c:v>
                </c:pt>
                <c:pt idx="6">
                  <c:v>1535685.8404505283</c:v>
                </c:pt>
                <c:pt idx="7">
                  <c:v>1322281.1588113913</c:v>
                </c:pt>
                <c:pt idx="8">
                  <c:v>1259465.6594827492</c:v>
                </c:pt>
                <c:pt idx="9">
                  <c:v>1147491.4745763473</c:v>
                </c:pt>
                <c:pt idx="10">
                  <c:v>1080366.51431918</c:v>
                </c:pt>
                <c:pt idx="11">
                  <c:v>1017447.3319477721</c:v>
                </c:pt>
                <c:pt idx="12">
                  <c:v>980549.73875773395</c:v>
                </c:pt>
                <c:pt idx="13">
                  <c:v>955144.92561644327</c:v>
                </c:pt>
                <c:pt idx="14">
                  <c:v>919268.2046010897</c:v>
                </c:pt>
                <c:pt idx="15">
                  <c:v>900507.03263580857</c:v>
                </c:pt>
                <c:pt idx="16">
                  <c:v>798292.27317132696</c:v>
                </c:pt>
                <c:pt idx="17">
                  <c:v>725967.24867553217</c:v>
                </c:pt>
                <c:pt idx="18">
                  <c:v>710311.22701611312</c:v>
                </c:pt>
                <c:pt idx="19">
                  <c:v>706692.98189086164</c:v>
                </c:pt>
                <c:pt idx="20">
                  <c:v>699514.9790159103</c:v>
                </c:pt>
                <c:pt idx="21">
                  <c:v>674902.40527575463</c:v>
                </c:pt>
                <c:pt idx="22">
                  <c:v>677223.29273723473</c:v>
                </c:pt>
                <c:pt idx="23">
                  <c:v>691457.00666150253</c:v>
                </c:pt>
                <c:pt idx="24">
                  <c:v>736298.25560570648</c:v>
                </c:pt>
                <c:pt idx="25">
                  <c:v>700591.67933621584</c:v>
                </c:pt>
                <c:pt idx="26">
                  <c:v>836747.75800949696</c:v>
                </c:pt>
                <c:pt idx="27">
                  <c:v>882554.04971315037</c:v>
                </c:pt>
                <c:pt idx="28">
                  <c:v>852871.67860651005</c:v>
                </c:pt>
                <c:pt idx="29">
                  <c:v>746568.11592424335</c:v>
                </c:pt>
                <c:pt idx="30">
                  <c:v>714612.71083827422</c:v>
                </c:pt>
                <c:pt idx="31">
                  <c:v>729104.30055382638</c:v>
                </c:pt>
                <c:pt idx="32">
                  <c:v>703316.66085573484</c:v>
                </c:pt>
                <c:pt idx="33">
                  <c:v>703601.12220243446</c:v>
                </c:pt>
                <c:pt idx="34">
                  <c:v>680838.87797119282</c:v>
                </c:pt>
                <c:pt idx="35">
                  <c:v>661880.97524287296</c:v>
                </c:pt>
                <c:pt idx="36">
                  <c:v>618719.91077841097</c:v>
                </c:pt>
                <c:pt idx="37">
                  <c:v>622500.32531902182</c:v>
                </c:pt>
                <c:pt idx="38">
                  <c:v>616275.32206583163</c:v>
                </c:pt>
                <c:pt idx="39">
                  <c:v>610112.56884517334</c:v>
                </c:pt>
                <c:pt idx="40">
                  <c:v>604011.44315672165</c:v>
                </c:pt>
                <c:pt idx="41">
                  <c:v>597971.3287251544</c:v>
                </c:pt>
                <c:pt idx="42">
                  <c:v>591991.61543790286</c:v>
                </c:pt>
                <c:pt idx="43">
                  <c:v>586071.69928352383</c:v>
                </c:pt>
                <c:pt idx="44">
                  <c:v>580210.98229068855</c:v>
                </c:pt>
                <c:pt idx="45">
                  <c:v>574408.87246778165</c:v>
                </c:pt>
                <c:pt idx="46">
                  <c:v>568664.78374310385</c:v>
                </c:pt>
                <c:pt idx="47">
                  <c:v>562978.1359056728</c:v>
                </c:pt>
                <c:pt idx="48">
                  <c:v>557348.35454661609</c:v>
                </c:pt>
                <c:pt idx="49">
                  <c:v>551774.87100114988</c:v>
                </c:pt>
                <c:pt idx="50">
                  <c:v>546257.1222911384</c:v>
                </c:pt>
                <c:pt idx="51">
                  <c:v>540794.55106822704</c:v>
                </c:pt>
                <c:pt idx="52">
                  <c:v>535386.60555754474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B2-7149-99C0-7A99974F3EE6}"/>
            </c:ext>
          </c:extLst>
        </c:ser>
        <c:ser>
          <c:idx val="4"/>
          <c:order val="3"/>
          <c:tx>
            <c:v>Pop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Sheet1!$AH$3:$AH$54</c:f>
            </c:numRef>
          </c:val>
          <c:smooth val="0"/>
          <c:extLst>
            <c:ext xmlns:c16="http://schemas.microsoft.com/office/drawing/2014/chart" uri="{C3380CC4-5D6E-409C-BE32-E72D297353CC}">
              <c16:uniqueId val="{00000004-D7B2-7149-99C0-7A99974F3EE6}"/>
            </c:ext>
          </c:extLst>
        </c:ser>
        <c:ser>
          <c:idx val="5"/>
          <c:order val="4"/>
          <c:tx>
            <c:v>Rock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Sheet1!$AM$3:$AM$55</c:f>
              <c:numCache>
                <c:formatCode>#,##0</c:formatCode>
                <c:ptCount val="53"/>
                <c:pt idx="0">
                  <c:v>5000000</c:v>
                </c:pt>
                <c:pt idx="1">
                  <c:v>4265645.3100000005</c:v>
                </c:pt>
                <c:pt idx="2">
                  <c:v>3989711.9036837486</c:v>
                </c:pt>
                <c:pt idx="3">
                  <c:v>4077740.8113735416</c:v>
                </c:pt>
                <c:pt idx="4">
                  <c:v>3723318.7492447719</c:v>
                </c:pt>
                <c:pt idx="5">
                  <c:v>3291351.5688460348</c:v>
                </c:pt>
                <c:pt idx="6">
                  <c:v>3203776.9583087764</c:v>
                </c:pt>
                <c:pt idx="7">
                  <c:v>2990676.4107669843</c:v>
                </c:pt>
                <c:pt idx="8">
                  <c:v>3039041.6386539377</c:v>
                </c:pt>
                <c:pt idx="9">
                  <c:v>2782538.1943384139</c:v>
                </c:pt>
                <c:pt idx="10">
                  <c:v>2648625.2241678121</c:v>
                </c:pt>
                <c:pt idx="11">
                  <c:v>2610953.4647428175</c:v>
                </c:pt>
                <c:pt idx="12">
                  <c:v>2442443.9798184424</c:v>
                </c:pt>
                <c:pt idx="13">
                  <c:v>2347705.446672549</c:v>
                </c:pt>
                <c:pt idx="14">
                  <c:v>2381568.0950255343</c:v>
                </c:pt>
                <c:pt idx="15">
                  <c:v>2316743.3142484073</c:v>
                </c:pt>
                <c:pt idx="16">
                  <c:v>2298326.787235816</c:v>
                </c:pt>
                <c:pt idx="17">
                  <c:v>2313877.744330225</c:v>
                </c:pt>
                <c:pt idx="18">
                  <c:v>2347530.7174551869</c:v>
                </c:pt>
                <c:pt idx="19">
                  <c:v>2198311.4110395615</c:v>
                </c:pt>
                <c:pt idx="20">
                  <c:v>2158403.109603439</c:v>
                </c:pt>
                <c:pt idx="21">
                  <c:v>2110212.6117307656</c:v>
                </c:pt>
                <c:pt idx="22">
                  <c:v>2082989.6978714392</c:v>
                </c:pt>
                <c:pt idx="23">
                  <c:v>2105704.579713325</c:v>
                </c:pt>
                <c:pt idx="24">
                  <c:v>2099519.1419986682</c:v>
                </c:pt>
                <c:pt idx="25">
                  <c:v>2158403.1082599345</c:v>
                </c:pt>
                <c:pt idx="26">
                  <c:v>2172870.7418399956</c:v>
                </c:pt>
                <c:pt idx="27">
                  <c:v>2076734.3682459178</c:v>
                </c:pt>
                <c:pt idx="28">
                  <c:v>2094032.6247727375</c:v>
                </c:pt>
                <c:pt idx="29">
                  <c:v>2079285.4230471342</c:v>
                </c:pt>
                <c:pt idx="30">
                  <c:v>2010896.153543334</c:v>
                </c:pt>
                <c:pt idx="31">
                  <c:v>2052971.1050267634</c:v>
                </c:pt>
                <c:pt idx="32">
                  <c:v>2278617.2569105802</c:v>
                </c:pt>
                <c:pt idx="33">
                  <c:v>2090607.9204231426</c:v>
                </c:pt>
                <c:pt idx="34">
                  <c:v>2079564.9927995924</c:v>
                </c:pt>
                <c:pt idx="35">
                  <c:v>2074882.2325079364</c:v>
                </c:pt>
                <c:pt idx="36">
                  <c:v>2056046.3520068822</c:v>
                </c:pt>
                <c:pt idx="37">
                  <c:v>1952571.3248248105</c:v>
                </c:pt>
                <c:pt idx="38">
                  <c:v>1933045.6115765623</c:v>
                </c:pt>
                <c:pt idx="39">
                  <c:v>1913715.1554607966</c:v>
                </c:pt>
                <c:pt idx="40">
                  <c:v>1894578.0039061885</c:v>
                </c:pt>
                <c:pt idx="41">
                  <c:v>1875632.2238671267</c:v>
                </c:pt>
                <c:pt idx="42">
                  <c:v>1856875.9016284554</c:v>
                </c:pt>
                <c:pt idx="43">
                  <c:v>1838307.1426121709</c:v>
                </c:pt>
                <c:pt idx="44">
                  <c:v>1819924.0711860491</c:v>
                </c:pt>
                <c:pt idx="45">
                  <c:v>1801724.8304741886</c:v>
                </c:pt>
                <c:pt idx="46">
                  <c:v>1783707.5821694466</c:v>
                </c:pt>
                <c:pt idx="47">
                  <c:v>1765870.5063477522</c:v>
                </c:pt>
                <c:pt idx="48">
                  <c:v>1748211.8012842746</c:v>
                </c:pt>
                <c:pt idx="49">
                  <c:v>1730729.6832714318</c:v>
                </c:pt>
                <c:pt idx="50">
                  <c:v>1713422.3864387176</c:v>
                </c:pt>
                <c:pt idx="51">
                  <c:v>1696288.1625743303</c:v>
                </c:pt>
                <c:pt idx="52">
                  <c:v>1679325.280948587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B2-7149-99C0-7A99974F3EE6}"/>
            </c:ext>
          </c:extLst>
        </c:ser>
        <c:ser>
          <c:idx val="6"/>
          <c:order val="5"/>
          <c:tx>
            <c:v>Singer/Songwriter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Sheet1!$AR$3:$AR$55</c:f>
              <c:numCache>
                <c:formatCode>#,##0</c:formatCode>
                <c:ptCount val="53"/>
                <c:pt idx="0">
                  <c:v>5000000</c:v>
                </c:pt>
                <c:pt idx="1">
                  <c:v>4330276.42</c:v>
                </c:pt>
                <c:pt idx="2">
                  <c:v>3455988.9687456777</c:v>
                </c:pt>
                <c:pt idx="3">
                  <c:v>3163475.0093720211</c:v>
                </c:pt>
                <c:pt idx="4">
                  <c:v>2670990.5155701507</c:v>
                </c:pt>
                <c:pt idx="5">
                  <c:v>2242827.7257179446</c:v>
                </c:pt>
                <c:pt idx="6">
                  <c:v>1957154.8535301795</c:v>
                </c:pt>
                <c:pt idx="7">
                  <c:v>1806584.2371785035</c:v>
                </c:pt>
                <c:pt idx="8">
                  <c:v>1696650.5151529885</c:v>
                </c:pt>
                <c:pt idx="9">
                  <c:v>1642714.8792311936</c:v>
                </c:pt>
                <c:pt idx="10">
                  <c:v>1587505.0966216209</c:v>
                </c:pt>
                <c:pt idx="11">
                  <c:v>1600939.5886900204</c:v>
                </c:pt>
                <c:pt idx="12">
                  <c:v>1507406.6159492519</c:v>
                </c:pt>
                <c:pt idx="13">
                  <c:v>1398941.1382282714</c:v>
                </c:pt>
                <c:pt idx="14">
                  <c:v>1313819.9052856683</c:v>
                </c:pt>
                <c:pt idx="15">
                  <c:v>1230455.0880248849</c:v>
                </c:pt>
                <c:pt idx="16">
                  <c:v>1171783.6795036716</c:v>
                </c:pt>
                <c:pt idx="17">
                  <c:v>1044271.517677044</c:v>
                </c:pt>
                <c:pt idx="18">
                  <c:v>971828.62514566444</c:v>
                </c:pt>
                <c:pt idx="19">
                  <c:v>1004064.497457878</c:v>
                </c:pt>
                <c:pt idx="20">
                  <c:v>887470.68856690975</c:v>
                </c:pt>
                <c:pt idx="21">
                  <c:v>847380.36545991362</c:v>
                </c:pt>
                <c:pt idx="22">
                  <c:v>799149.80281179934</c:v>
                </c:pt>
                <c:pt idx="23">
                  <c:v>783063.42234387319</c:v>
                </c:pt>
                <c:pt idx="24">
                  <c:v>742436.05367858463</c:v>
                </c:pt>
                <c:pt idx="25">
                  <c:v>689556.64787096693</c:v>
                </c:pt>
                <c:pt idx="26">
                  <c:v>669563.28592180915</c:v>
                </c:pt>
                <c:pt idx="27">
                  <c:v>664282.13295619562</c:v>
                </c:pt>
                <c:pt idx="28">
                  <c:v>638961.17673993332</c:v>
                </c:pt>
                <c:pt idx="29">
                  <c:v>707649.50899012678</c:v>
                </c:pt>
                <c:pt idx="30">
                  <c:v>682753.66472366382</c:v>
                </c:pt>
                <c:pt idx="31">
                  <c:v>674927.79337830225</c:v>
                </c:pt>
                <c:pt idx="32">
                  <c:v>691872.73303719598</c:v>
                </c:pt>
                <c:pt idx="33">
                  <c:v>656617.01707592898</c:v>
                </c:pt>
                <c:pt idx="34">
                  <c:v>662347.09775695205</c:v>
                </c:pt>
                <c:pt idx="35">
                  <c:v>650972.67264545208</c:v>
                </c:pt>
                <c:pt idx="36">
                  <c:v>580897.07038475259</c:v>
                </c:pt>
                <c:pt idx="37">
                  <c:v>596095.12168092094</c:v>
                </c:pt>
                <c:pt idx="38">
                  <c:v>590134.17046411172</c:v>
                </c:pt>
                <c:pt idx="39">
                  <c:v>584232.82875947061</c:v>
                </c:pt>
                <c:pt idx="40">
                  <c:v>578390.50047187589</c:v>
                </c:pt>
                <c:pt idx="41">
                  <c:v>572606.59546715708</c:v>
                </c:pt>
                <c:pt idx="42">
                  <c:v>566880.52951248549</c:v>
                </c:pt>
                <c:pt idx="43">
                  <c:v>561211.72421736061</c:v>
                </c:pt>
                <c:pt idx="44">
                  <c:v>555599.60697518697</c:v>
                </c:pt>
                <c:pt idx="45">
                  <c:v>550043.61090543505</c:v>
                </c:pt>
                <c:pt idx="46">
                  <c:v>544543.17479638068</c:v>
                </c:pt>
                <c:pt idx="47">
                  <c:v>539097.74304841692</c:v>
                </c:pt>
                <c:pt idx="48">
                  <c:v>533706.76561793278</c:v>
                </c:pt>
                <c:pt idx="49">
                  <c:v>528369.69796175347</c:v>
                </c:pt>
                <c:pt idx="50">
                  <c:v>523086.00098213594</c:v>
                </c:pt>
                <c:pt idx="51">
                  <c:v>517855.14097231458</c:v>
                </c:pt>
                <c:pt idx="52">
                  <c:v>512676.5895625914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B2-7149-99C0-7A99974F3EE6}"/>
            </c:ext>
          </c:extLst>
        </c:ser>
        <c:ser>
          <c:idx val="7"/>
          <c:order val="6"/>
          <c:tx>
            <c:v>Urban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Sheet1!$AW$3:$AW$55</c:f>
              <c:numCache>
                <c:formatCode>#,##0</c:formatCode>
                <c:ptCount val="53"/>
                <c:pt idx="0">
                  <c:v>5000000</c:v>
                </c:pt>
                <c:pt idx="1">
                  <c:v>3616312.4000000004</c:v>
                </c:pt>
                <c:pt idx="2">
                  <c:v>3123581.3552474226</c:v>
                </c:pt>
                <c:pt idx="3">
                  <c:v>2602766.4044505819</c:v>
                </c:pt>
                <c:pt idx="4">
                  <c:v>2230281.9379819846</c:v>
                </c:pt>
                <c:pt idx="5">
                  <c:v>1883112.5403265639</c:v>
                </c:pt>
                <c:pt idx="6">
                  <c:v>1765330.530329318</c:v>
                </c:pt>
                <c:pt idx="7">
                  <c:v>1655246.4920975147</c:v>
                </c:pt>
                <c:pt idx="8">
                  <c:v>1501895.5915693892</c:v>
                </c:pt>
                <c:pt idx="9">
                  <c:v>1452360.816108461</c:v>
                </c:pt>
                <c:pt idx="10">
                  <c:v>1396253.8593611221</c:v>
                </c:pt>
                <c:pt idx="11">
                  <c:v>1266909.6770181069</c:v>
                </c:pt>
                <c:pt idx="12">
                  <c:v>1238764.9187408015</c:v>
                </c:pt>
                <c:pt idx="13">
                  <c:v>1145233.0401278723</c:v>
                </c:pt>
                <c:pt idx="14">
                  <c:v>1081884.5134511224</c:v>
                </c:pt>
                <c:pt idx="15">
                  <c:v>1070748.3169685116</c:v>
                </c:pt>
                <c:pt idx="16">
                  <c:v>1029946.0239721716</c:v>
                </c:pt>
                <c:pt idx="17">
                  <c:v>996902.55612985126</c:v>
                </c:pt>
                <c:pt idx="18">
                  <c:v>955613.43522947573</c:v>
                </c:pt>
                <c:pt idx="19">
                  <c:v>894699.05036195344</c:v>
                </c:pt>
                <c:pt idx="20">
                  <c:v>862264.11797995283</c:v>
                </c:pt>
                <c:pt idx="21">
                  <c:v>856452.6044958944</c:v>
                </c:pt>
                <c:pt idx="22">
                  <c:v>831411.3760324308</c:v>
                </c:pt>
                <c:pt idx="23">
                  <c:v>794016.88098337536</c:v>
                </c:pt>
                <c:pt idx="24">
                  <c:v>787231.71215510962</c:v>
                </c:pt>
                <c:pt idx="25">
                  <c:v>769888.45592091465</c:v>
                </c:pt>
                <c:pt idx="26">
                  <c:v>738579.31354680646</c:v>
                </c:pt>
                <c:pt idx="27">
                  <c:v>740891.74776833504</c:v>
                </c:pt>
                <c:pt idx="28">
                  <c:v>781907.02815891174</c:v>
                </c:pt>
                <c:pt idx="29">
                  <c:v>775225.34251578641</c:v>
                </c:pt>
                <c:pt idx="30">
                  <c:v>762867.87147089234</c:v>
                </c:pt>
                <c:pt idx="31">
                  <c:v>758495.22802466981</c:v>
                </c:pt>
                <c:pt idx="32">
                  <c:v>740529.36669807939</c:v>
                </c:pt>
                <c:pt idx="33">
                  <c:v>704280.78521483531</c:v>
                </c:pt>
                <c:pt idx="34">
                  <c:v>671232.47204961907</c:v>
                </c:pt>
                <c:pt idx="35">
                  <c:v>665148.79412821576</c:v>
                </c:pt>
                <c:pt idx="36">
                  <c:v>660269.17743544548</c:v>
                </c:pt>
                <c:pt idx="37">
                  <c:v>667842.08920746809</c:v>
                </c:pt>
                <c:pt idx="38">
                  <c:v>661163.66831539338</c:v>
                </c:pt>
                <c:pt idx="39">
                  <c:v>654552.03163223946</c:v>
                </c:pt>
                <c:pt idx="40">
                  <c:v>648006.51131591701</c:v>
                </c:pt>
                <c:pt idx="41">
                  <c:v>641526.44620275788</c:v>
                </c:pt>
                <c:pt idx="42">
                  <c:v>635111.1817407303</c:v>
                </c:pt>
                <c:pt idx="43">
                  <c:v>628760.069923323</c:v>
                </c:pt>
                <c:pt idx="44">
                  <c:v>622472.46922408976</c:v>
                </c:pt>
                <c:pt idx="45">
                  <c:v>616247.74453184882</c:v>
                </c:pt>
                <c:pt idx="46">
                  <c:v>610085.26708653034</c:v>
                </c:pt>
                <c:pt idx="47">
                  <c:v>603984.41441566497</c:v>
                </c:pt>
                <c:pt idx="48">
                  <c:v>597944.5702715083</c:v>
                </c:pt>
                <c:pt idx="49">
                  <c:v>591965.12456879322</c:v>
                </c:pt>
                <c:pt idx="50">
                  <c:v>586045.47332310525</c:v>
                </c:pt>
                <c:pt idx="51">
                  <c:v>580185.01858987415</c:v>
                </c:pt>
                <c:pt idx="52">
                  <c:v>574383.16840397543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B2-7149-99C0-7A99974F3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1156031"/>
        <c:axId val="108499568"/>
      </c:lineChart>
      <c:catAx>
        <c:axId val="2111156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9568"/>
        <c:crosses val="autoZero"/>
        <c:auto val="1"/>
        <c:lblAlgn val="ctr"/>
        <c:lblOffset val="100"/>
        <c:noMultiLvlLbl val="0"/>
      </c:catAx>
      <c:valAx>
        <c:axId val="108499568"/>
        <c:scaling>
          <c:orientation val="minMax"/>
          <c:max val="50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15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4</xdr:row>
      <xdr:rowOff>177800</xdr:rowOff>
    </xdr:from>
    <xdr:to>
      <xdr:col>15</xdr:col>
      <xdr:colOff>177800</xdr:colOff>
      <xdr:row>51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A794D0-9F6F-639F-2212-83C5EA15A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ECE4-3302-654B-A188-48ABE39F344A}">
  <sheetPr codeName="Sheet1"/>
  <dimension ref="A1:BA77"/>
  <sheetViews>
    <sheetView tabSelected="1" topLeftCell="B1" zoomScale="91" zoomScaleNormal="50" workbookViewId="0">
      <pane xSplit="15" ySplit="1" topLeftCell="AR2" activePane="bottomRight" state="frozen"/>
      <selection activeCell="B1" sqref="B1"/>
      <selection pane="topRight" activeCell="M1" sqref="M1"/>
      <selection pane="bottomLeft" activeCell="B2" sqref="B2"/>
      <selection pane="bottomRight" activeCell="F4" sqref="F4"/>
    </sheetView>
  </sheetViews>
  <sheetFormatPr baseColWidth="10" defaultRowHeight="16" x14ac:dyDescent="0.2"/>
  <cols>
    <col min="1" max="3" width="10.83203125" style="9"/>
    <col min="4" max="4" width="13.83203125" style="9" bestFit="1" customWidth="1"/>
    <col min="5" max="15" width="10.83203125" style="9"/>
    <col min="16" max="16" width="14.6640625" style="9" customWidth="1"/>
    <col min="17" max="17" width="15" style="9" bestFit="1" customWidth="1"/>
    <col min="18" max="18" width="13.6640625" style="9" bestFit="1" customWidth="1"/>
    <col min="19" max="19" width="15" style="9" bestFit="1" customWidth="1"/>
    <col min="20" max="20" width="10.83203125" style="9"/>
    <col min="21" max="21" width="3.33203125" style="23" customWidth="1"/>
    <col min="22" max="22" width="15" style="11" bestFit="1" customWidth="1"/>
    <col min="23" max="23" width="12.33203125" style="9" bestFit="1" customWidth="1"/>
    <col min="24" max="24" width="14.83203125" style="9" hidden="1" customWidth="1"/>
    <col min="25" max="25" width="12.1640625" style="9" bestFit="1" customWidth="1"/>
    <col min="26" max="26" width="3.83203125" style="23" customWidth="1"/>
    <col min="27" max="27" width="13" style="11" customWidth="1"/>
    <col min="28" max="28" width="14.5" style="9" bestFit="1" customWidth="1"/>
    <col min="29" max="29" width="14.5" style="9" customWidth="1"/>
    <col min="30" max="30" width="12.1640625" style="9" bestFit="1" customWidth="1"/>
    <col min="31" max="31" width="5.1640625" style="23" customWidth="1"/>
    <col min="32" max="32" width="13" style="11" customWidth="1"/>
    <col min="33" max="33" width="14.5" style="9" bestFit="1" customWidth="1"/>
    <col min="34" max="34" width="14.5" style="9" hidden="1" customWidth="1"/>
    <col min="35" max="35" width="10.83203125" style="9"/>
    <col min="36" max="36" width="4.5" style="23" customWidth="1"/>
    <col min="37" max="37" width="13" style="11" customWidth="1"/>
    <col min="38" max="38" width="12.33203125" style="9" bestFit="1" customWidth="1"/>
    <col min="39" max="39" width="14.83203125" style="27" bestFit="1" customWidth="1"/>
    <col min="40" max="40" width="12.1640625" style="9" bestFit="1" customWidth="1"/>
    <col min="41" max="41" width="6.83203125" style="23" customWidth="1"/>
    <col min="42" max="42" width="13" style="11" customWidth="1"/>
    <col min="43" max="43" width="14.5" style="9" bestFit="1" customWidth="1"/>
    <col min="44" max="44" width="14.5" style="20" customWidth="1"/>
    <col min="45" max="45" width="15.5" style="9" bestFit="1" customWidth="1"/>
    <col min="46" max="46" width="5.83203125" style="23" customWidth="1"/>
    <col min="47" max="47" width="13" style="11" customWidth="1"/>
    <col min="48" max="49" width="15.5" style="9" customWidth="1"/>
    <col min="50" max="50" width="12.1640625" style="9" bestFit="1" customWidth="1"/>
    <col min="51" max="51" width="12.1640625" style="23" customWidth="1"/>
    <col min="52" max="52" width="12.1640625" style="9" customWidth="1"/>
    <col min="53" max="16384" width="10.83203125" style="9"/>
  </cols>
  <sheetData>
    <row r="1" spans="1:53" x14ac:dyDescent="0.2">
      <c r="R1" s="32" t="s">
        <v>1</v>
      </c>
      <c r="S1" s="32"/>
      <c r="T1" s="32"/>
      <c r="W1" s="32" t="s">
        <v>2</v>
      </c>
      <c r="X1" s="32"/>
      <c r="Y1" s="32"/>
      <c r="AB1" s="32" t="s">
        <v>3</v>
      </c>
      <c r="AC1" s="32"/>
      <c r="AD1" s="32"/>
      <c r="AG1" s="32" t="s">
        <v>4</v>
      </c>
      <c r="AH1" s="32"/>
      <c r="AI1" s="32"/>
      <c r="AL1" s="32" t="s">
        <v>5</v>
      </c>
      <c r="AM1" s="32"/>
      <c r="AN1" s="32"/>
      <c r="AQ1" s="32" t="s">
        <v>6</v>
      </c>
      <c r="AR1" s="32"/>
      <c r="AS1" s="32"/>
      <c r="AV1" s="32" t="s">
        <v>7</v>
      </c>
      <c r="AW1" s="32"/>
      <c r="AX1" s="32"/>
    </row>
    <row r="2" spans="1:53" s="4" customFormat="1" ht="68" x14ac:dyDescent="0.2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30</v>
      </c>
      <c r="G2" s="1" t="s">
        <v>31</v>
      </c>
      <c r="H2" s="1" t="s">
        <v>32</v>
      </c>
      <c r="I2" s="2"/>
      <c r="J2" s="1" t="s">
        <v>9</v>
      </c>
      <c r="K2" s="1" t="s">
        <v>10</v>
      </c>
      <c r="L2" s="1" t="s">
        <v>13</v>
      </c>
      <c r="M2" s="1" t="s">
        <v>14</v>
      </c>
      <c r="N2" s="1" t="s">
        <v>15</v>
      </c>
      <c r="O2" s="3" t="s">
        <v>16</v>
      </c>
      <c r="P2" s="4" t="s">
        <v>0</v>
      </c>
      <c r="Q2" s="4" t="s">
        <v>33</v>
      </c>
      <c r="R2" s="4" t="s">
        <v>28</v>
      </c>
      <c r="S2" s="4" t="s">
        <v>11</v>
      </c>
      <c r="T2" s="4" t="s">
        <v>29</v>
      </c>
      <c r="U2" s="22"/>
      <c r="V2" s="25" t="s">
        <v>33</v>
      </c>
      <c r="W2" s="4" t="s">
        <v>28</v>
      </c>
      <c r="X2" s="4" t="s">
        <v>11</v>
      </c>
      <c r="Y2" s="4" t="s">
        <v>29</v>
      </c>
      <c r="Z2" s="22"/>
      <c r="AA2" s="25" t="s">
        <v>33</v>
      </c>
      <c r="AB2" s="4" t="s">
        <v>28</v>
      </c>
      <c r="AC2" s="4" t="s">
        <v>11</v>
      </c>
      <c r="AD2" s="4" t="s">
        <v>29</v>
      </c>
      <c r="AE2" s="22"/>
      <c r="AF2" s="25" t="s">
        <v>33</v>
      </c>
      <c r="AG2" s="4" t="s">
        <v>28</v>
      </c>
      <c r="AH2" s="4" t="s">
        <v>11</v>
      </c>
      <c r="AI2" s="4" t="s">
        <v>29</v>
      </c>
      <c r="AJ2" s="22"/>
      <c r="AK2" s="25" t="s">
        <v>33</v>
      </c>
      <c r="AL2" s="4" t="s">
        <v>28</v>
      </c>
      <c r="AM2" s="26" t="s">
        <v>11</v>
      </c>
      <c r="AN2" s="4" t="s">
        <v>29</v>
      </c>
      <c r="AO2" s="22"/>
      <c r="AP2" s="25" t="s">
        <v>33</v>
      </c>
      <c r="AQ2" s="4" t="s">
        <v>28</v>
      </c>
      <c r="AR2" s="21" t="s">
        <v>11</v>
      </c>
      <c r="AS2" s="4" t="s">
        <v>29</v>
      </c>
      <c r="AT2" s="22"/>
      <c r="AU2" s="25" t="s">
        <v>33</v>
      </c>
      <c r="AV2" s="4" t="s">
        <v>28</v>
      </c>
      <c r="AW2" s="4" t="s">
        <v>11</v>
      </c>
      <c r="AX2" s="4" t="s">
        <v>29</v>
      </c>
      <c r="AY2" s="22"/>
      <c r="BA2" s="4" t="s">
        <v>8</v>
      </c>
    </row>
    <row r="3" spans="1:53" x14ac:dyDescent="0.2">
      <c r="A3" s="5">
        <v>0</v>
      </c>
      <c r="B3" s="5">
        <v>1000</v>
      </c>
      <c r="C3" s="5">
        <v>0</v>
      </c>
      <c r="D3" s="16">
        <v>5000000</v>
      </c>
      <c r="E3" s="6">
        <v>500000</v>
      </c>
      <c r="F3" s="6">
        <v>300000</v>
      </c>
      <c r="G3" s="6"/>
      <c r="H3" s="6"/>
      <c r="I3" s="7"/>
      <c r="J3" s="8">
        <f>B3*7</f>
        <v>7000</v>
      </c>
      <c r="K3" s="8">
        <f>C3*0.7</f>
        <v>0</v>
      </c>
      <c r="L3" s="8">
        <f>SUM(M3:N3)</f>
        <v>19500</v>
      </c>
      <c r="M3" s="8">
        <f>D3*0.0037</f>
        <v>18500</v>
      </c>
      <c r="N3" s="8">
        <f>E3*0.002</f>
        <v>1000</v>
      </c>
      <c r="O3" s="8">
        <f>SUM(J3:L3)</f>
        <v>26500</v>
      </c>
      <c r="P3" s="9">
        <v>0</v>
      </c>
      <c r="Q3" s="11">
        <f>-F3+R3</f>
        <v>-273500</v>
      </c>
      <c r="R3" s="8">
        <f>O3</f>
        <v>26500</v>
      </c>
      <c r="S3" s="19">
        <f>D3</f>
        <v>5000000</v>
      </c>
      <c r="V3" s="11">
        <f>-F3+W3</f>
        <v>-273500</v>
      </c>
      <c r="W3" s="8">
        <f>O3</f>
        <v>26500</v>
      </c>
      <c r="X3" s="5">
        <f>D3</f>
        <v>5000000</v>
      </c>
      <c r="AA3" s="11">
        <f>-F3+AB3</f>
        <v>-273500</v>
      </c>
      <c r="AB3" s="8">
        <f>O3</f>
        <v>26500</v>
      </c>
      <c r="AC3" s="5">
        <f>D3</f>
        <v>5000000</v>
      </c>
      <c r="AF3" s="11">
        <f>-F3+AG3</f>
        <v>-273500</v>
      </c>
      <c r="AG3" s="8">
        <f>O3</f>
        <v>26500</v>
      </c>
      <c r="AH3" s="5">
        <f>D3</f>
        <v>5000000</v>
      </c>
      <c r="AK3" s="11">
        <f>-F3+AL3</f>
        <v>-273500</v>
      </c>
      <c r="AL3" s="10">
        <f>O3</f>
        <v>26500</v>
      </c>
      <c r="AM3" s="5">
        <f>D3</f>
        <v>5000000</v>
      </c>
      <c r="AP3" s="11">
        <f>-F3+AQ3</f>
        <v>-273500</v>
      </c>
      <c r="AQ3" s="10">
        <f>O3</f>
        <v>26500</v>
      </c>
      <c r="AR3" s="20">
        <f>D3</f>
        <v>5000000</v>
      </c>
      <c r="AU3" s="11">
        <f>-F3+AV3</f>
        <v>-273500</v>
      </c>
      <c r="AV3" s="10">
        <f>O3</f>
        <v>26500</v>
      </c>
      <c r="AW3" s="5">
        <f>D3</f>
        <v>5000000</v>
      </c>
      <c r="AZ3" s="10">
        <f>R3</f>
        <v>26500</v>
      </c>
    </row>
    <row r="4" spans="1:53" x14ac:dyDescent="0.2">
      <c r="P4" s="9">
        <v>1</v>
      </c>
      <c r="Q4" s="11">
        <f t="shared" ref="Q4:Q35" si="0">Q3+R4</f>
        <v>-255256.45654700001</v>
      </c>
      <c r="R4" s="11">
        <f>R3*T4</f>
        <v>18243.543452999998</v>
      </c>
      <c r="S4" s="5">
        <f>S3*T4</f>
        <v>3442178.01</v>
      </c>
      <c r="T4" s="9">
        <v>0.68843560199999998</v>
      </c>
      <c r="V4" s="11">
        <f t="shared" ref="V4:V35" si="1">V3+W4</f>
        <v>-255716.705208</v>
      </c>
      <c r="W4" s="11">
        <f>W3*Y4</f>
        <v>17783.294791999997</v>
      </c>
      <c r="X4" s="20">
        <f>X3*Y4</f>
        <v>3355338.6399999997</v>
      </c>
      <c r="Y4" s="9">
        <v>0.67106772799999992</v>
      </c>
      <c r="AA4" s="11">
        <f t="shared" ref="AA4:AA35" si="2">AA3+AB4</f>
        <v>-251909.05178050001</v>
      </c>
      <c r="AB4" s="11">
        <f>AB3*AD4</f>
        <v>21590.948219499998</v>
      </c>
      <c r="AC4" s="5">
        <f>AC3*AD4</f>
        <v>4073763.8149999999</v>
      </c>
      <c r="AD4" s="9">
        <v>0.81475276299999999</v>
      </c>
      <c r="AF4" s="11">
        <f t="shared" ref="AF4:AF35" si="3">AF3+AG4</f>
        <v>-254922.7746685</v>
      </c>
      <c r="AG4" s="11">
        <f>AG3*AI4</f>
        <v>18577.225331500002</v>
      </c>
      <c r="AH4" s="5">
        <f>AH3*AI4</f>
        <v>3505136.855</v>
      </c>
      <c r="AI4" s="9">
        <v>0.70102737100000001</v>
      </c>
      <c r="AK4" s="11">
        <f t="shared" ref="AK4:AK35" si="4">AK3+AL4</f>
        <v>-250892.079857</v>
      </c>
      <c r="AL4" s="11">
        <f>AL3*AN4</f>
        <v>22607.920143000003</v>
      </c>
      <c r="AM4" s="5">
        <f>AM3*AN4</f>
        <v>4265645.3100000005</v>
      </c>
      <c r="AN4" s="9">
        <v>0.85312906200000005</v>
      </c>
      <c r="AP4" s="11">
        <f t="shared" ref="AP4:AP35" si="5">AP3+AQ4</f>
        <v>-250549.53497400001</v>
      </c>
      <c r="AQ4" s="11">
        <f>AQ3*AS4</f>
        <v>22950.465025999998</v>
      </c>
      <c r="AR4" s="20">
        <f>AR3*AS4</f>
        <v>4330276.42</v>
      </c>
      <c r="AS4" s="9">
        <v>0.86605528399999998</v>
      </c>
      <c r="AU4" s="11">
        <f t="shared" ref="AU4:AU35" si="6">AU3+AV4</f>
        <v>-254333.54428</v>
      </c>
      <c r="AV4" s="11">
        <f>AV3*AX4</f>
        <v>19166.455720000002</v>
      </c>
      <c r="AW4" s="5">
        <f>AW3*AX4</f>
        <v>3616312.4000000004</v>
      </c>
      <c r="AX4" s="9">
        <v>0.72326248000000004</v>
      </c>
      <c r="AZ4" s="11">
        <f>AZ3*BA4</f>
        <v>20817.478833499998</v>
      </c>
      <c r="BA4" s="9">
        <v>0.78556523899999997</v>
      </c>
    </row>
    <row r="5" spans="1:53" x14ac:dyDescent="0.2">
      <c r="P5" s="9">
        <v>2</v>
      </c>
      <c r="Q5" s="11">
        <f t="shared" si="0"/>
        <v>-239816.3208266322</v>
      </c>
      <c r="R5" s="11">
        <f>R4*T5</f>
        <v>15440.135720367794</v>
      </c>
      <c r="S5" s="5">
        <f>S4*T5</f>
        <v>2913233.1547863763</v>
      </c>
      <c r="T5" s="9">
        <v>0.84633425299999998</v>
      </c>
      <c r="V5" s="11">
        <f t="shared" si="1"/>
        <v>-242142.7555232147</v>
      </c>
      <c r="W5" s="11">
        <f t="shared" ref="W5:W55" si="7">W4*Y5</f>
        <v>13573.949684785286</v>
      </c>
      <c r="X5" s="20">
        <f t="shared" ref="X5:X55" si="8">X4*Y5</f>
        <v>2561122.5820349599</v>
      </c>
      <c r="Y5" s="9">
        <v>0.76329779399999997</v>
      </c>
      <c r="AA5" s="11">
        <f t="shared" si="2"/>
        <v>-236125.07855752396</v>
      </c>
      <c r="AB5" s="11">
        <f t="shared" ref="AB5:AB55" si="9">AB4*AD5</f>
        <v>15783.97322297605</v>
      </c>
      <c r="AC5" s="5">
        <f t="shared" ref="AC5:AC55" si="10">AC4*AD5</f>
        <v>2978108.1552785002</v>
      </c>
      <c r="AD5" s="9">
        <v>0.73104585599999994</v>
      </c>
      <c r="AF5" s="11">
        <f t="shared" si="3"/>
        <v>-238869.43506408323</v>
      </c>
      <c r="AG5" s="11">
        <f t="shared" ref="AG5:AG55" si="11">AG4*AI5</f>
        <v>16053.339604416775</v>
      </c>
      <c r="AH5" s="5">
        <f t="shared" ref="AH5:AH55" si="12">AH4*AI5</f>
        <v>3028932.0008333535</v>
      </c>
      <c r="AI5" s="9">
        <v>0.86414086700000003</v>
      </c>
      <c r="AK5" s="11">
        <f t="shared" si="4"/>
        <v>-229746.60676747613</v>
      </c>
      <c r="AL5" s="11">
        <f t="shared" ref="AL5:AL55" si="13">AL4*AN5</f>
        <v>21145.473089523868</v>
      </c>
      <c r="AM5" s="5">
        <f t="shared" ref="AM5:AM55" si="14">AM4*AN5</f>
        <v>3989711.9036837486</v>
      </c>
      <c r="AN5" s="9">
        <v>0.93531262299999995</v>
      </c>
      <c r="AP5" s="11">
        <f t="shared" si="5"/>
        <v>-232232.79343964791</v>
      </c>
      <c r="AQ5" s="11">
        <f t="shared" ref="AQ5:AQ55" si="15">AQ4*AS5</f>
        <v>18316.741534352092</v>
      </c>
      <c r="AR5" s="20">
        <f t="shared" ref="AR5:AR55" si="16">AR4*AS5</f>
        <v>3455988.9687456777</v>
      </c>
      <c r="AS5" s="9">
        <v>0.79809892800000004</v>
      </c>
      <c r="AU5" s="11">
        <f t="shared" si="6"/>
        <v>-237778.56309718866</v>
      </c>
      <c r="AV5" s="11">
        <f t="shared" ref="AV5:AV55" si="17">AV4*AX5</f>
        <v>16554.981182811338</v>
      </c>
      <c r="AW5" s="5">
        <f t="shared" ref="AW5:AW55" si="18">AW4*AX5</f>
        <v>3123581.3552474226</v>
      </c>
      <c r="AX5" s="9">
        <v>0.86374765500000006</v>
      </c>
      <c r="AZ5" s="11">
        <f t="shared" ref="AZ5:AZ55" si="19">AZ4*BA5</f>
        <v>17881.111220590592</v>
      </c>
      <c r="BA5" s="9">
        <v>0.85894701100000004</v>
      </c>
    </row>
    <row r="6" spans="1:53" x14ac:dyDescent="0.2">
      <c r="P6" s="9">
        <v>3</v>
      </c>
      <c r="Q6" s="11">
        <f t="shared" si="0"/>
        <v>-225993.56841218864</v>
      </c>
      <c r="R6" s="11">
        <f>R5*T6</f>
        <v>13822.75241444357</v>
      </c>
      <c r="S6" s="5">
        <f>S5*T6</f>
        <v>2608066.4932912397</v>
      </c>
      <c r="T6" s="9">
        <v>0.89524811599999998</v>
      </c>
      <c r="V6" s="11">
        <f t="shared" si="1"/>
        <v>-230465.75793622347</v>
      </c>
      <c r="W6" s="11">
        <f t="shared" si="7"/>
        <v>11676.997586991221</v>
      </c>
      <c r="X6" s="20">
        <f t="shared" si="8"/>
        <v>2203207.0918851364</v>
      </c>
      <c r="Y6" s="9">
        <v>0.86025054300000003</v>
      </c>
      <c r="AA6" s="11">
        <f t="shared" si="2"/>
        <v>-222647.17032371575</v>
      </c>
      <c r="AB6" s="11">
        <f t="shared" si="9"/>
        <v>13477.908233808208</v>
      </c>
      <c r="AC6" s="5">
        <f t="shared" si="10"/>
        <v>2543001.5535487183</v>
      </c>
      <c r="AD6" s="9">
        <v>0.85389832099999996</v>
      </c>
      <c r="AF6" s="11">
        <f t="shared" si="3"/>
        <v>-224534.65110396376</v>
      </c>
      <c r="AG6" s="11">
        <f t="shared" si="11"/>
        <v>14334.783960119465</v>
      </c>
      <c r="AH6" s="5">
        <f t="shared" si="12"/>
        <v>2704676.2188904649</v>
      </c>
      <c r="AI6" s="9">
        <v>0.89294715700000005</v>
      </c>
      <c r="AK6" s="11">
        <f t="shared" si="4"/>
        <v>-208134.58046719636</v>
      </c>
      <c r="AL6" s="11">
        <f t="shared" si="13"/>
        <v>21612.026300279769</v>
      </c>
      <c r="AM6" s="5">
        <f t="shared" si="14"/>
        <v>4077740.8113735416</v>
      </c>
      <c r="AN6" s="9">
        <v>1.0220639760000001</v>
      </c>
      <c r="AP6" s="11">
        <f t="shared" si="5"/>
        <v>-215466.37588997619</v>
      </c>
      <c r="AQ6" s="11">
        <f t="shared" si="15"/>
        <v>16766.417549671711</v>
      </c>
      <c r="AR6" s="20">
        <f t="shared" si="16"/>
        <v>3163475.0093720211</v>
      </c>
      <c r="AS6" s="9">
        <v>0.91536027399999997</v>
      </c>
      <c r="AU6" s="11">
        <f t="shared" si="6"/>
        <v>-223983.90115360057</v>
      </c>
      <c r="AV6" s="11">
        <f t="shared" si="17"/>
        <v>13794.661943588084</v>
      </c>
      <c r="AW6" s="5">
        <f t="shared" si="18"/>
        <v>2602766.4044505819</v>
      </c>
      <c r="AX6" s="9">
        <v>0.83326352300000006</v>
      </c>
      <c r="AZ6" s="11">
        <f t="shared" si="19"/>
        <v>16762.17173644307</v>
      </c>
      <c r="BA6" s="9">
        <v>0.937423381</v>
      </c>
    </row>
    <row r="7" spans="1:53" x14ac:dyDescent="0.2">
      <c r="P7" s="9">
        <v>4</v>
      </c>
      <c r="Q7" s="11">
        <f t="shared" si="0"/>
        <v>-213605.34167182134</v>
      </c>
      <c r="R7" s="11">
        <f t="shared" ref="R7:R55" si="20">R6*T7</f>
        <v>12388.226740367292</v>
      </c>
      <c r="S7" s="5">
        <f t="shared" ref="S7:S55" si="21">S6*T7</f>
        <v>2337401.2717674137</v>
      </c>
      <c r="T7" s="9">
        <v>0.89621996900000001</v>
      </c>
      <c r="V7" s="11">
        <f t="shared" si="1"/>
        <v>-220899.32289796224</v>
      </c>
      <c r="W7" s="11">
        <f t="shared" si="7"/>
        <v>9566.4350382612411</v>
      </c>
      <c r="X7" s="20">
        <f t="shared" si="8"/>
        <v>1804987.7430681589</v>
      </c>
      <c r="Y7" s="9">
        <v>0.81925468999999995</v>
      </c>
      <c r="AA7" s="11">
        <f t="shared" si="2"/>
        <v>-211866.87834821825</v>
      </c>
      <c r="AB7" s="11">
        <f t="shared" si="9"/>
        <v>10780.291975497499</v>
      </c>
      <c r="AC7" s="5">
        <f t="shared" si="10"/>
        <v>2034017.3538674524</v>
      </c>
      <c r="AD7" s="9">
        <v>0.79984904099999998</v>
      </c>
      <c r="AF7" s="11">
        <f t="shared" si="3"/>
        <v>-211712.00409747619</v>
      </c>
      <c r="AG7" s="11">
        <f t="shared" si="11"/>
        <v>12822.647006487568</v>
      </c>
      <c r="AH7" s="5">
        <f t="shared" si="12"/>
        <v>2419367.3597146356</v>
      </c>
      <c r="AI7" s="9">
        <v>0.894512749</v>
      </c>
      <c r="AK7" s="11">
        <f t="shared" si="4"/>
        <v>-188400.99109619908</v>
      </c>
      <c r="AL7" s="11">
        <f t="shared" si="13"/>
        <v>19733.589370997288</v>
      </c>
      <c r="AM7" s="5">
        <f t="shared" si="14"/>
        <v>3723318.7492447719</v>
      </c>
      <c r="AN7" s="9">
        <v>0.91308372000000004</v>
      </c>
      <c r="AP7" s="11">
        <f t="shared" si="5"/>
        <v>-201310.12615745439</v>
      </c>
      <c r="AQ7" s="11">
        <f t="shared" si="15"/>
        <v>14156.249732521797</v>
      </c>
      <c r="AR7" s="20">
        <f t="shared" si="16"/>
        <v>2670990.5155701507</v>
      </c>
      <c r="AS7" s="9">
        <v>0.84432167400000002</v>
      </c>
      <c r="AU7" s="11">
        <f t="shared" si="6"/>
        <v>-212163.40688229605</v>
      </c>
      <c r="AV7" s="11">
        <f t="shared" si="17"/>
        <v>11820.494271304518</v>
      </c>
      <c r="AW7" s="5">
        <f t="shared" si="18"/>
        <v>2230281.9379819846</v>
      </c>
      <c r="AX7" s="9">
        <v>0.85688901400000006</v>
      </c>
      <c r="AZ7" s="11">
        <f t="shared" si="19"/>
        <v>14825.948219719785</v>
      </c>
      <c r="BA7" s="9">
        <v>0.88448850499999998</v>
      </c>
    </row>
    <row r="8" spans="1:53" x14ac:dyDescent="0.2">
      <c r="P8" s="9">
        <v>5</v>
      </c>
      <c r="Q8" s="11">
        <f t="shared" si="0"/>
        <v>-202809.75201367342</v>
      </c>
      <c r="R8" s="11">
        <f t="shared" si="20"/>
        <v>10795.589658147914</v>
      </c>
      <c r="S8" s="5">
        <f t="shared" si="21"/>
        <v>2036903.709084512</v>
      </c>
      <c r="T8" s="9">
        <v>0.87143946299999997</v>
      </c>
      <c r="V8" s="11">
        <f t="shared" si="1"/>
        <v>-212487.66329196841</v>
      </c>
      <c r="W8" s="11">
        <f t="shared" si="7"/>
        <v>8411.659605993822</v>
      </c>
      <c r="X8" s="20">
        <f t="shared" si="8"/>
        <v>1587105.5860365704</v>
      </c>
      <c r="Y8" s="9">
        <v>0.87928884399999996</v>
      </c>
      <c r="AA8" s="11">
        <f t="shared" si="2"/>
        <v>-202515.31386249038</v>
      </c>
      <c r="AB8" s="11">
        <f t="shared" si="9"/>
        <v>9351.564485727873</v>
      </c>
      <c r="AC8" s="5">
        <f t="shared" si="10"/>
        <v>1764446.1293826175</v>
      </c>
      <c r="AD8" s="9">
        <v>0.86746857199999994</v>
      </c>
      <c r="AF8" s="11">
        <f t="shared" si="3"/>
        <v>-200139.52746271633</v>
      </c>
      <c r="AG8" s="11">
        <f t="shared" si="11"/>
        <v>11572.476634759878</v>
      </c>
      <c r="AH8" s="5">
        <f t="shared" si="12"/>
        <v>2183486.1575018638</v>
      </c>
      <c r="AI8" s="9">
        <v>0.90250294100000006</v>
      </c>
      <c r="AK8" s="11">
        <f t="shared" si="4"/>
        <v>-170956.82778131511</v>
      </c>
      <c r="AL8" s="11">
        <f t="shared" si="13"/>
        <v>17444.163314883983</v>
      </c>
      <c r="AM8" s="5">
        <f t="shared" si="14"/>
        <v>3291351.5688460348</v>
      </c>
      <c r="AN8" s="9">
        <v>0.883983293</v>
      </c>
      <c r="AP8" s="11">
        <f t="shared" si="5"/>
        <v>-189423.13921114928</v>
      </c>
      <c r="AQ8" s="11">
        <f t="shared" si="15"/>
        <v>11886.986946305105</v>
      </c>
      <c r="AR8" s="20">
        <f t="shared" si="16"/>
        <v>2242827.7257179446</v>
      </c>
      <c r="AS8" s="9">
        <v>0.83969887300000001</v>
      </c>
      <c r="AU8" s="11">
        <f t="shared" si="6"/>
        <v>-202182.91041856527</v>
      </c>
      <c r="AV8" s="11">
        <f t="shared" si="17"/>
        <v>9980.4964637307894</v>
      </c>
      <c r="AW8" s="5">
        <f t="shared" si="18"/>
        <v>1883112.5403265639</v>
      </c>
      <c r="AX8" s="9">
        <v>0.84433833599999997</v>
      </c>
      <c r="AZ8" s="11">
        <f t="shared" si="19"/>
        <v>13646.479649747958</v>
      </c>
      <c r="BA8" s="9">
        <v>0.92044565700000003</v>
      </c>
    </row>
    <row r="9" spans="1:53" x14ac:dyDescent="0.2">
      <c r="P9" s="9">
        <v>6</v>
      </c>
      <c r="Q9" s="11">
        <f t="shared" si="0"/>
        <v>-192090.65842808603</v>
      </c>
      <c r="R9" s="11">
        <f t="shared" si="20"/>
        <v>10719.093585587383</v>
      </c>
      <c r="S9" s="5">
        <f t="shared" si="21"/>
        <v>2022470.487846676</v>
      </c>
      <c r="T9" s="9">
        <v>0.99291413669999995</v>
      </c>
      <c r="V9" s="11">
        <f t="shared" si="1"/>
        <v>-204595.55726903421</v>
      </c>
      <c r="W9" s="11">
        <f t="shared" si="7"/>
        <v>7892.106022934182</v>
      </c>
      <c r="X9" s="20">
        <f t="shared" si="8"/>
        <v>1489076.6081007891</v>
      </c>
      <c r="Y9" s="9">
        <v>0.93823411700000003</v>
      </c>
      <c r="AA9" s="11">
        <f t="shared" si="2"/>
        <v>-194376.17890810259</v>
      </c>
      <c r="AB9" s="11">
        <f t="shared" si="9"/>
        <v>8139.1349543877996</v>
      </c>
      <c r="AC9" s="5">
        <f t="shared" si="10"/>
        <v>1535685.8404505283</v>
      </c>
      <c r="AD9" s="9">
        <v>0.87035008599999997</v>
      </c>
      <c r="AF9" s="11">
        <f t="shared" si="3"/>
        <v>-189485.53400782889</v>
      </c>
      <c r="AG9" s="11">
        <f t="shared" si="11"/>
        <v>10653.993454887443</v>
      </c>
      <c r="AH9" s="5">
        <f t="shared" si="12"/>
        <v>2010187.4443183853</v>
      </c>
      <c r="AI9" s="9">
        <v>0.92063209899999998</v>
      </c>
      <c r="AK9" s="11">
        <f t="shared" si="4"/>
        <v>-153976.80990227859</v>
      </c>
      <c r="AL9" s="11">
        <f t="shared" si="13"/>
        <v>16980.017879036513</v>
      </c>
      <c r="AM9" s="5">
        <f t="shared" si="14"/>
        <v>3203776.9583087764</v>
      </c>
      <c r="AN9" s="9">
        <v>0.97339250799999999</v>
      </c>
      <c r="AP9" s="11">
        <f t="shared" si="5"/>
        <v>-179050.21848743933</v>
      </c>
      <c r="AQ9" s="11">
        <f t="shared" si="15"/>
        <v>10372.920723709951</v>
      </c>
      <c r="AR9" s="20">
        <f t="shared" si="16"/>
        <v>1957154.8535301795</v>
      </c>
      <c r="AS9" s="9">
        <v>0.87262825899999996</v>
      </c>
      <c r="AU9" s="11">
        <f t="shared" si="6"/>
        <v>-192826.65860781987</v>
      </c>
      <c r="AV9" s="11">
        <f t="shared" si="17"/>
        <v>9356.2518107453852</v>
      </c>
      <c r="AW9" s="5">
        <f t="shared" si="18"/>
        <v>1765330.530329318</v>
      </c>
      <c r="AX9" s="9">
        <v>0.93745354700000005</v>
      </c>
      <c r="AZ9" s="11">
        <f t="shared" si="19"/>
        <v>12894.815925420642</v>
      </c>
      <c r="BA9" s="9">
        <v>0.94491885500000006</v>
      </c>
    </row>
    <row r="10" spans="1:53" x14ac:dyDescent="0.2">
      <c r="P10" s="9">
        <v>7</v>
      </c>
      <c r="Q10" s="11">
        <f t="shared" si="0"/>
        <v>-181793.46910564482</v>
      </c>
      <c r="R10" s="11">
        <f t="shared" si="20"/>
        <v>10297.189322441207</v>
      </c>
      <c r="S10" s="5">
        <f t="shared" si="21"/>
        <v>1942865.9098945672</v>
      </c>
      <c r="T10" s="9">
        <v>0.960639931</v>
      </c>
      <c r="V10" s="11">
        <f t="shared" si="1"/>
        <v>-197135.45894238431</v>
      </c>
      <c r="W10" s="11">
        <f t="shared" si="7"/>
        <v>7460.098326649887</v>
      </c>
      <c r="X10" s="20">
        <f t="shared" si="8"/>
        <v>1407565.7220094127</v>
      </c>
      <c r="Y10" s="9">
        <v>0.94526078400000002</v>
      </c>
      <c r="AA10" s="11">
        <f t="shared" si="2"/>
        <v>-187368.08876640222</v>
      </c>
      <c r="AB10" s="11">
        <f t="shared" si="9"/>
        <v>7008.0901417003734</v>
      </c>
      <c r="AC10" s="5">
        <f t="shared" si="10"/>
        <v>1322281.1588113913</v>
      </c>
      <c r="AD10" s="9">
        <v>0.86103623800000006</v>
      </c>
      <c r="AF10" s="11">
        <f t="shared" si="3"/>
        <v>-178977.72522234521</v>
      </c>
      <c r="AG10" s="11">
        <f t="shared" si="11"/>
        <v>10507.808785483685</v>
      </c>
      <c r="AH10" s="5">
        <f t="shared" si="12"/>
        <v>1982605.4312233368</v>
      </c>
      <c r="AI10" s="9">
        <v>0.98627888500000005</v>
      </c>
      <c r="AK10" s="11">
        <f t="shared" si="4"/>
        <v>-138126.22492521358</v>
      </c>
      <c r="AL10" s="11">
        <f t="shared" si="13"/>
        <v>15850.584977065017</v>
      </c>
      <c r="AM10" s="5">
        <f t="shared" si="14"/>
        <v>2990676.4107669843</v>
      </c>
      <c r="AN10" s="9">
        <v>0.93348458700000003</v>
      </c>
      <c r="AP10" s="11">
        <f t="shared" si="5"/>
        <v>-169475.32203039326</v>
      </c>
      <c r="AQ10" s="11">
        <f t="shared" si="15"/>
        <v>9574.8964570460685</v>
      </c>
      <c r="AR10" s="20">
        <f t="shared" si="16"/>
        <v>1806584.2371785035</v>
      </c>
      <c r="AS10" s="9">
        <v>0.92306657999999997</v>
      </c>
      <c r="AU10" s="11">
        <f t="shared" si="6"/>
        <v>-184053.85219970305</v>
      </c>
      <c r="AV10" s="11">
        <f t="shared" si="17"/>
        <v>8772.8064081168286</v>
      </c>
      <c r="AW10" s="5">
        <f t="shared" si="18"/>
        <v>1655246.4920975147</v>
      </c>
      <c r="AX10" s="9">
        <v>0.93764111800000005</v>
      </c>
      <c r="AZ10" s="11">
        <f t="shared" si="19"/>
        <v>12967.224546341502</v>
      </c>
      <c r="BA10" s="9">
        <v>1.005615328</v>
      </c>
    </row>
    <row r="11" spans="1:53" x14ac:dyDescent="0.2">
      <c r="P11" s="9">
        <v>8</v>
      </c>
      <c r="Q11" s="11">
        <f t="shared" si="0"/>
        <v>-171886.49076345298</v>
      </c>
      <c r="R11" s="11">
        <f t="shared" si="20"/>
        <v>9906.978342191851</v>
      </c>
      <c r="S11" s="5">
        <f t="shared" si="21"/>
        <v>1869241.1966399718</v>
      </c>
      <c r="T11" s="9">
        <v>0.96210509799999999</v>
      </c>
      <c r="V11" s="11">
        <f t="shared" si="1"/>
        <v>-190030.40572581053</v>
      </c>
      <c r="W11" s="11">
        <f t="shared" si="7"/>
        <v>7105.0532165737877</v>
      </c>
      <c r="X11" s="20">
        <f t="shared" si="8"/>
        <v>1340576.0785988278</v>
      </c>
      <c r="Y11" s="9">
        <v>0.95240744899999996</v>
      </c>
      <c r="AA11" s="11">
        <f t="shared" si="2"/>
        <v>-180692.92077114363</v>
      </c>
      <c r="AB11" s="11">
        <f t="shared" si="9"/>
        <v>6675.16799525857</v>
      </c>
      <c r="AC11" s="5">
        <f t="shared" si="10"/>
        <v>1259465.6594827492</v>
      </c>
      <c r="AD11" s="9">
        <v>0.95249459700000005</v>
      </c>
      <c r="AF11" s="11">
        <f t="shared" si="3"/>
        <v>-168967.67580484861</v>
      </c>
      <c r="AG11" s="11">
        <f t="shared" si="11"/>
        <v>10010.04941749659</v>
      </c>
      <c r="AH11" s="5">
        <f t="shared" si="12"/>
        <v>1888688.5693389792</v>
      </c>
      <c r="AI11" s="9">
        <v>0.95262957500000001</v>
      </c>
      <c r="AK11" s="11">
        <f t="shared" si="4"/>
        <v>-122019.30424034772</v>
      </c>
      <c r="AL11" s="11">
        <f t="shared" si="13"/>
        <v>16106.920684865869</v>
      </c>
      <c r="AM11" s="5">
        <f t="shared" si="14"/>
        <v>3039041.6386539377</v>
      </c>
      <c r="AN11" s="9">
        <v>1.0161720030000001</v>
      </c>
      <c r="AP11" s="11">
        <f t="shared" si="5"/>
        <v>-160483.07430008243</v>
      </c>
      <c r="AQ11" s="11">
        <f t="shared" si="15"/>
        <v>8992.247730310839</v>
      </c>
      <c r="AR11" s="20">
        <f t="shared" si="16"/>
        <v>1696650.5151529885</v>
      </c>
      <c r="AS11" s="9">
        <v>0.93914830000000005</v>
      </c>
      <c r="AU11" s="11">
        <f t="shared" si="6"/>
        <v>-176093.80556438529</v>
      </c>
      <c r="AV11" s="11">
        <f t="shared" si="17"/>
        <v>7960.0466353177635</v>
      </c>
      <c r="AW11" s="5">
        <f t="shared" si="18"/>
        <v>1501895.5915693892</v>
      </c>
      <c r="AX11" s="9">
        <v>0.90735464399999999</v>
      </c>
      <c r="AZ11" s="11">
        <f t="shared" si="19"/>
        <v>12535.884124656126</v>
      </c>
      <c r="BA11" s="9">
        <v>0.96673610300000001</v>
      </c>
    </row>
    <row r="12" spans="1:53" x14ac:dyDescent="0.2">
      <c r="P12" s="9">
        <v>9</v>
      </c>
      <c r="Q12" s="11">
        <f t="shared" si="0"/>
        <v>-162385.87284657493</v>
      </c>
      <c r="R12" s="11">
        <f t="shared" si="20"/>
        <v>9500.6179168780545</v>
      </c>
      <c r="S12" s="5">
        <f t="shared" si="21"/>
        <v>1792569.4182788781</v>
      </c>
      <c r="T12" s="9">
        <v>0.95898240499999998</v>
      </c>
      <c r="V12" s="11">
        <f t="shared" si="1"/>
        <v>-183219.51564541226</v>
      </c>
      <c r="W12" s="11">
        <f t="shared" si="7"/>
        <v>6810.8900803982751</v>
      </c>
      <c r="X12" s="20">
        <f t="shared" si="8"/>
        <v>1285073.6000751462</v>
      </c>
      <c r="Y12" s="9">
        <v>0.95859803899999996</v>
      </c>
      <c r="AA12" s="11">
        <f t="shared" si="2"/>
        <v>-174611.215955889</v>
      </c>
      <c r="AB12" s="11">
        <f t="shared" si="9"/>
        <v>6081.7048152546404</v>
      </c>
      <c r="AC12" s="5">
        <f t="shared" si="10"/>
        <v>1147491.4745763473</v>
      </c>
      <c r="AD12" s="9">
        <v>0.91109389600000001</v>
      </c>
      <c r="AF12" s="11">
        <f t="shared" si="3"/>
        <v>-159449.32806281917</v>
      </c>
      <c r="AG12" s="11">
        <f t="shared" si="11"/>
        <v>9518.3477420294257</v>
      </c>
      <c r="AH12" s="5">
        <f t="shared" si="12"/>
        <v>1795914.668307439</v>
      </c>
      <c r="AI12" s="9">
        <v>0.95087919600000004</v>
      </c>
      <c r="AK12" s="11">
        <f t="shared" si="4"/>
        <v>-107271.85181035413</v>
      </c>
      <c r="AL12" s="11">
        <f t="shared" si="13"/>
        <v>14747.452429993593</v>
      </c>
      <c r="AM12" s="5">
        <f t="shared" si="14"/>
        <v>2782538.1943384139</v>
      </c>
      <c r="AN12" s="9">
        <v>0.915597259</v>
      </c>
      <c r="AP12" s="11">
        <f t="shared" si="5"/>
        <v>-151776.6854401571</v>
      </c>
      <c r="AQ12" s="11">
        <f t="shared" si="15"/>
        <v>8706.388859925326</v>
      </c>
      <c r="AR12" s="20">
        <f t="shared" si="16"/>
        <v>1642714.8792311936</v>
      </c>
      <c r="AS12" s="9">
        <v>0.96821052100000005</v>
      </c>
      <c r="AU12" s="11">
        <f t="shared" si="6"/>
        <v>-168396.29323901044</v>
      </c>
      <c r="AV12" s="11">
        <f t="shared" si="17"/>
        <v>7697.5123253748443</v>
      </c>
      <c r="AW12" s="5">
        <f t="shared" si="18"/>
        <v>1452360.816108461</v>
      </c>
      <c r="AX12" s="9">
        <v>0.96701849600000001</v>
      </c>
      <c r="AZ12" s="11">
        <f t="shared" si="19"/>
        <v>11434.481094746156</v>
      </c>
      <c r="BA12" s="9">
        <v>0.91213997999999996</v>
      </c>
    </row>
    <row r="13" spans="1:53" x14ac:dyDescent="0.2">
      <c r="P13" s="9">
        <v>10</v>
      </c>
      <c r="Q13" s="11">
        <f t="shared" si="0"/>
        <v>-153440.59398825568</v>
      </c>
      <c r="R13" s="11">
        <f t="shared" si="20"/>
        <v>8945.2788583192396</v>
      </c>
      <c r="S13" s="5">
        <f t="shared" si="21"/>
        <v>1687788.4638338184</v>
      </c>
      <c r="T13" s="9">
        <v>0.94154705900000002</v>
      </c>
      <c r="V13" s="11">
        <f t="shared" si="1"/>
        <v>-176670.92663871008</v>
      </c>
      <c r="W13" s="11">
        <f t="shared" si="7"/>
        <v>6548.5890067021855</v>
      </c>
      <c r="X13" s="20">
        <f t="shared" si="8"/>
        <v>1235582.8314532426</v>
      </c>
      <c r="Y13" s="9">
        <v>0.96148798899999999</v>
      </c>
      <c r="AA13" s="11">
        <f t="shared" si="2"/>
        <v>-168885.27342999735</v>
      </c>
      <c r="AB13" s="11">
        <f t="shared" si="9"/>
        <v>5725.9425258916544</v>
      </c>
      <c r="AC13" s="5">
        <f t="shared" si="10"/>
        <v>1080366.51431918</v>
      </c>
      <c r="AD13" s="9">
        <v>0.94150286800000005</v>
      </c>
      <c r="AF13" s="11">
        <f t="shared" si="3"/>
        <v>-150062.42079336019</v>
      </c>
      <c r="AG13" s="11">
        <f t="shared" si="11"/>
        <v>9386.907269458974</v>
      </c>
      <c r="AH13" s="5">
        <f t="shared" si="12"/>
        <v>1771114.5791432026</v>
      </c>
      <c r="AI13" s="9">
        <v>0.98619083100000005</v>
      </c>
      <c r="AK13" s="11">
        <f t="shared" si="4"/>
        <v>-93234.138122264732</v>
      </c>
      <c r="AL13" s="11">
        <f t="shared" si="13"/>
        <v>14037.713688089403</v>
      </c>
      <c r="AM13" s="5">
        <f t="shared" si="14"/>
        <v>2648625.2241678121</v>
      </c>
      <c r="AN13" s="9">
        <v>0.95187380700000002</v>
      </c>
      <c r="AP13" s="11">
        <f t="shared" si="5"/>
        <v>-143362.90842806251</v>
      </c>
      <c r="AQ13" s="11">
        <f t="shared" si="15"/>
        <v>8413.7770120945916</v>
      </c>
      <c r="AR13" s="20">
        <f t="shared" si="16"/>
        <v>1587505.0966216209</v>
      </c>
      <c r="AS13" s="9">
        <v>0.96639113499999996</v>
      </c>
      <c r="AU13" s="11">
        <f t="shared" si="6"/>
        <v>-160996.14778439648</v>
      </c>
      <c r="AV13" s="11">
        <f t="shared" si="17"/>
        <v>7400.1454546139475</v>
      </c>
      <c r="AW13" s="5">
        <f t="shared" si="18"/>
        <v>1396253.8593611221</v>
      </c>
      <c r="AX13" s="9">
        <v>0.96136844499999996</v>
      </c>
      <c r="AZ13" s="11">
        <f t="shared" si="19"/>
        <v>11401.105250871766</v>
      </c>
      <c r="BA13" s="9">
        <v>0.99708112299999996</v>
      </c>
    </row>
    <row r="14" spans="1:53" x14ac:dyDescent="0.2">
      <c r="P14" s="9">
        <v>11</v>
      </c>
      <c r="Q14" s="11">
        <f t="shared" si="0"/>
        <v>-144766.72675193762</v>
      </c>
      <c r="R14" s="11">
        <f t="shared" si="20"/>
        <v>8673.8672363180685</v>
      </c>
      <c r="S14" s="5">
        <f t="shared" si="21"/>
        <v>1636578.7238335975</v>
      </c>
      <c r="T14" s="9">
        <v>0.96965867400000005</v>
      </c>
      <c r="V14" s="11">
        <f t="shared" si="1"/>
        <v>-169928.95883986563</v>
      </c>
      <c r="W14" s="11">
        <f t="shared" si="7"/>
        <v>6741.9677988444491</v>
      </c>
      <c r="X14" s="20">
        <f t="shared" si="8"/>
        <v>1272069.3960083865</v>
      </c>
      <c r="Y14" s="9">
        <v>1.029529841</v>
      </c>
      <c r="AA14" s="11">
        <f t="shared" si="2"/>
        <v>-163492.80257067416</v>
      </c>
      <c r="AB14" s="11">
        <f t="shared" si="9"/>
        <v>5392.4708593231917</v>
      </c>
      <c r="AC14" s="5">
        <f t="shared" si="10"/>
        <v>1017447.3319477721</v>
      </c>
      <c r="AD14" s="9">
        <v>0.94176126199999999</v>
      </c>
      <c r="AF14" s="11">
        <f t="shared" si="3"/>
        <v>-141037.60345599052</v>
      </c>
      <c r="AG14" s="11">
        <f t="shared" si="11"/>
        <v>9024.81733736965</v>
      </c>
      <c r="AH14" s="5">
        <f t="shared" si="12"/>
        <v>1702795.7240320095</v>
      </c>
      <c r="AI14" s="9">
        <v>0.961426067</v>
      </c>
      <c r="AK14" s="11">
        <f t="shared" si="4"/>
        <v>-79396.0847591278</v>
      </c>
      <c r="AL14" s="11">
        <f t="shared" si="13"/>
        <v>13838.053363136933</v>
      </c>
      <c r="AM14" s="5">
        <f t="shared" si="14"/>
        <v>2610953.4647428175</v>
      </c>
      <c r="AN14" s="9">
        <v>0.985776863</v>
      </c>
      <c r="AP14" s="11">
        <f t="shared" si="5"/>
        <v>-134877.9286080054</v>
      </c>
      <c r="AQ14" s="11">
        <f t="shared" si="15"/>
        <v>8484.9798200571095</v>
      </c>
      <c r="AR14" s="20">
        <f t="shared" si="16"/>
        <v>1600939.5886900204</v>
      </c>
      <c r="AS14" s="9">
        <v>1.008462645</v>
      </c>
      <c r="AU14" s="11">
        <f t="shared" si="6"/>
        <v>-154281.5264962005</v>
      </c>
      <c r="AV14" s="11">
        <f t="shared" si="17"/>
        <v>6714.6212881959664</v>
      </c>
      <c r="AW14" s="5">
        <f t="shared" si="18"/>
        <v>1266909.6770181069</v>
      </c>
      <c r="AX14" s="9">
        <v>0.90736342000000003</v>
      </c>
      <c r="AZ14" s="11">
        <f t="shared" si="19"/>
        <v>11119.107611534759</v>
      </c>
      <c r="BA14" s="9">
        <v>0.97526576300000001</v>
      </c>
    </row>
    <row r="15" spans="1:53" x14ac:dyDescent="0.2">
      <c r="P15" s="9">
        <v>12</v>
      </c>
      <c r="Q15" s="11">
        <f t="shared" si="0"/>
        <v>-136179.56185315287</v>
      </c>
      <c r="R15" s="11">
        <f t="shared" si="20"/>
        <v>8587.1648987847402</v>
      </c>
      <c r="S15" s="5">
        <f t="shared" si="21"/>
        <v>1620219.7922235357</v>
      </c>
      <c r="T15" s="9">
        <v>0.99000418899999998</v>
      </c>
      <c r="V15" s="11">
        <f t="shared" si="1"/>
        <v>-163919.40713995707</v>
      </c>
      <c r="W15" s="11">
        <f t="shared" si="7"/>
        <v>6009.5516999085748</v>
      </c>
      <c r="X15" s="20">
        <f t="shared" si="8"/>
        <v>1133877.6792280329</v>
      </c>
      <c r="Y15" s="9">
        <v>0.89136464000000004</v>
      </c>
      <c r="AA15" s="11">
        <f t="shared" si="2"/>
        <v>-158295.88895525818</v>
      </c>
      <c r="AB15" s="11">
        <f t="shared" si="9"/>
        <v>5196.9136154159896</v>
      </c>
      <c r="AC15" s="5">
        <f t="shared" si="10"/>
        <v>980549.73875773395</v>
      </c>
      <c r="AD15" s="9">
        <v>0.96373513200000005</v>
      </c>
      <c r="AF15" s="11">
        <f t="shared" si="3"/>
        <v>-132166.17143577148</v>
      </c>
      <c r="AG15" s="11">
        <f t="shared" si="11"/>
        <v>8871.4320202190338</v>
      </c>
      <c r="AH15" s="5">
        <f t="shared" si="12"/>
        <v>1673855.0981545348</v>
      </c>
      <c r="AI15" s="9">
        <v>0.98300405300000004</v>
      </c>
      <c r="AK15" s="11">
        <f t="shared" si="4"/>
        <v>-66451.131666090048</v>
      </c>
      <c r="AL15" s="11">
        <f t="shared" si="13"/>
        <v>12944.953093037744</v>
      </c>
      <c r="AM15" s="5">
        <f t="shared" si="14"/>
        <v>2442443.9798184424</v>
      </c>
      <c r="AN15" s="9">
        <v>0.935460556</v>
      </c>
      <c r="AP15" s="11">
        <f t="shared" si="5"/>
        <v>-126888.67354347436</v>
      </c>
      <c r="AQ15" s="11">
        <f t="shared" si="15"/>
        <v>7989.2550645310366</v>
      </c>
      <c r="AR15" s="20">
        <f t="shared" si="16"/>
        <v>1507406.6159492519</v>
      </c>
      <c r="AS15" s="9">
        <v>0.94157620099999995</v>
      </c>
      <c r="AU15" s="11">
        <f t="shared" si="6"/>
        <v>-147716.07242687425</v>
      </c>
      <c r="AV15" s="11">
        <f t="shared" si="17"/>
        <v>6565.4540693262479</v>
      </c>
      <c r="AW15" s="5">
        <f t="shared" si="18"/>
        <v>1238764.9187408015</v>
      </c>
      <c r="AX15" s="9">
        <v>0.97778471600000005</v>
      </c>
      <c r="AZ15" s="11">
        <f t="shared" si="19"/>
        <v>10509.715512119556</v>
      </c>
      <c r="BA15" s="9">
        <v>0.94519415399999995</v>
      </c>
    </row>
    <row r="16" spans="1:53" x14ac:dyDescent="0.2">
      <c r="P16" s="9">
        <v>13</v>
      </c>
      <c r="Q16" s="11">
        <f t="shared" si="0"/>
        <v>-128128.96228634928</v>
      </c>
      <c r="R16" s="11">
        <f t="shared" si="20"/>
        <v>8050.5995668035875</v>
      </c>
      <c r="S16" s="5">
        <f t="shared" si="21"/>
        <v>1518981.0503402995</v>
      </c>
      <c r="T16" s="9">
        <v>0.93751542700000001</v>
      </c>
      <c r="V16" s="11">
        <f t="shared" si="1"/>
        <v>-158130.90785711669</v>
      </c>
      <c r="W16" s="11">
        <f t="shared" si="7"/>
        <v>5788.4992828403674</v>
      </c>
      <c r="X16" s="20">
        <f t="shared" si="8"/>
        <v>1092169.6760076166</v>
      </c>
      <c r="Y16" s="9">
        <v>0.96321648800000004</v>
      </c>
      <c r="AA16" s="11">
        <f t="shared" si="2"/>
        <v>-153233.62084949104</v>
      </c>
      <c r="AB16" s="11">
        <f t="shared" si="9"/>
        <v>5062.2681057671489</v>
      </c>
      <c r="AC16" s="5">
        <f t="shared" si="10"/>
        <v>955144.92561644327</v>
      </c>
      <c r="AD16" s="9">
        <v>0.97409125500000004</v>
      </c>
      <c r="AF16" s="11">
        <f t="shared" si="3"/>
        <v>-123483.32792709526</v>
      </c>
      <c r="AG16" s="11">
        <f t="shared" si="11"/>
        <v>8682.8435086762256</v>
      </c>
      <c r="AH16" s="5">
        <f t="shared" si="12"/>
        <v>1638272.3601275899</v>
      </c>
      <c r="AI16" s="9">
        <v>0.97874204399999998</v>
      </c>
      <c r="AK16" s="11">
        <f t="shared" si="4"/>
        <v>-54008.292798725539</v>
      </c>
      <c r="AL16" s="11">
        <f t="shared" si="13"/>
        <v>12442.838867364509</v>
      </c>
      <c r="AM16" s="5">
        <f t="shared" si="14"/>
        <v>2347705.446672549</v>
      </c>
      <c r="AN16" s="9">
        <v>0.96121158399999995</v>
      </c>
      <c r="AP16" s="11">
        <f t="shared" si="5"/>
        <v>-119474.28551086452</v>
      </c>
      <c r="AQ16" s="11">
        <f t="shared" si="15"/>
        <v>7414.3880326098397</v>
      </c>
      <c r="AR16" s="20">
        <f t="shared" si="16"/>
        <v>1398941.1382282714</v>
      </c>
      <c r="AS16" s="9">
        <v>0.92804497699999999</v>
      </c>
      <c r="AU16" s="11">
        <f t="shared" si="6"/>
        <v>-141646.33731419651</v>
      </c>
      <c r="AV16" s="11">
        <f t="shared" si="17"/>
        <v>6069.735112677723</v>
      </c>
      <c r="AW16" s="5">
        <f t="shared" si="18"/>
        <v>1145233.0401278723</v>
      </c>
      <c r="AX16" s="9">
        <v>0.92449586100000003</v>
      </c>
      <c r="AZ16" s="11">
        <f t="shared" si="19"/>
        <v>9982.9144981658137</v>
      </c>
      <c r="BA16" s="9">
        <v>0.94987485500000002</v>
      </c>
    </row>
    <row r="17" spans="16:53" x14ac:dyDescent="0.2">
      <c r="P17" s="9">
        <v>14</v>
      </c>
      <c r="Q17" s="11">
        <f t="shared" si="0"/>
        <v>-120546.69664032142</v>
      </c>
      <c r="R17" s="11">
        <f t="shared" si="20"/>
        <v>7582.2656460278668</v>
      </c>
      <c r="S17" s="5">
        <f t="shared" si="21"/>
        <v>1430616.1596278993</v>
      </c>
      <c r="T17" s="9">
        <v>0.941826206</v>
      </c>
      <c r="V17" s="11">
        <f t="shared" si="1"/>
        <v>-153029.01361055166</v>
      </c>
      <c r="W17" s="11">
        <f t="shared" si="7"/>
        <v>5101.8942465650289</v>
      </c>
      <c r="X17" s="20">
        <f t="shared" si="8"/>
        <v>962621.555955666</v>
      </c>
      <c r="Y17" s="9">
        <v>0.88138462100000003</v>
      </c>
      <c r="AA17" s="11">
        <f t="shared" si="2"/>
        <v>-148361.49936510526</v>
      </c>
      <c r="AB17" s="11">
        <f t="shared" si="9"/>
        <v>4872.1214843857751</v>
      </c>
      <c r="AC17" s="5">
        <f t="shared" si="10"/>
        <v>919268.2046010897</v>
      </c>
      <c r="AD17" s="9">
        <v>0.96243845299999997</v>
      </c>
      <c r="AF17" s="11">
        <f t="shared" si="3"/>
        <v>-115029.76232509683</v>
      </c>
      <c r="AG17" s="11">
        <f t="shared" si="11"/>
        <v>8453.565601998429</v>
      </c>
      <c r="AH17" s="5">
        <f t="shared" si="12"/>
        <v>1595012.3777355528</v>
      </c>
      <c r="AI17" s="9">
        <v>0.97359414499999997</v>
      </c>
      <c r="AK17" s="11">
        <f t="shared" si="4"/>
        <v>-41385.981895090212</v>
      </c>
      <c r="AL17" s="11">
        <f t="shared" si="13"/>
        <v>12622.310903635331</v>
      </c>
      <c r="AM17" s="5">
        <f t="shared" si="14"/>
        <v>2381568.0950255343</v>
      </c>
      <c r="AN17" s="9">
        <v>1.014423721</v>
      </c>
      <c r="AP17" s="11">
        <f t="shared" si="5"/>
        <v>-112511.04001285047</v>
      </c>
      <c r="AQ17" s="11">
        <f t="shared" si="15"/>
        <v>6963.2454980140437</v>
      </c>
      <c r="AR17" s="20">
        <f t="shared" si="16"/>
        <v>1313819.9052856683</v>
      </c>
      <c r="AS17" s="9">
        <v>0.93915309899999999</v>
      </c>
      <c r="AU17" s="11">
        <f t="shared" si="6"/>
        <v>-135912.34939290557</v>
      </c>
      <c r="AV17" s="11">
        <f t="shared" si="17"/>
        <v>5733.9879212909491</v>
      </c>
      <c r="AW17" s="5">
        <f t="shared" si="18"/>
        <v>1081884.5134511224</v>
      </c>
      <c r="AX17" s="9">
        <v>0.94468503400000003</v>
      </c>
      <c r="AZ17" s="11">
        <f t="shared" si="19"/>
        <v>9483.5495684209727</v>
      </c>
      <c r="BA17" s="9">
        <v>0.94997804200000002</v>
      </c>
    </row>
    <row r="18" spans="16:53" x14ac:dyDescent="0.2">
      <c r="P18" s="9">
        <v>15</v>
      </c>
      <c r="Q18" s="11">
        <f t="shared" si="0"/>
        <v>-112849.87086110287</v>
      </c>
      <c r="R18" s="11">
        <f t="shared" si="20"/>
        <v>7696.8257792185441</v>
      </c>
      <c r="S18" s="5">
        <f t="shared" si="21"/>
        <v>1452231.2790978383</v>
      </c>
      <c r="T18" s="9">
        <v>1.0151089579999999</v>
      </c>
      <c r="V18" s="11">
        <f t="shared" si="1"/>
        <v>-148133.0634781337</v>
      </c>
      <c r="W18" s="11">
        <f t="shared" si="7"/>
        <v>4895.9501324179701</v>
      </c>
      <c r="X18" s="20">
        <f t="shared" si="8"/>
        <v>923764.1759279191</v>
      </c>
      <c r="Y18" s="9">
        <v>0.95963379400000004</v>
      </c>
      <c r="AA18" s="11">
        <f t="shared" si="2"/>
        <v>-143588.81209213549</v>
      </c>
      <c r="AB18" s="11">
        <f t="shared" si="9"/>
        <v>4772.6872729697852</v>
      </c>
      <c r="AC18" s="5">
        <f t="shared" si="10"/>
        <v>900507.03263580857</v>
      </c>
      <c r="AD18" s="9">
        <v>0.979591188</v>
      </c>
      <c r="AF18" s="11">
        <f t="shared" si="3"/>
        <v>-106741.46883368552</v>
      </c>
      <c r="AG18" s="11">
        <f t="shared" si="11"/>
        <v>8288.2934914113102</v>
      </c>
      <c r="AH18" s="5">
        <f t="shared" si="12"/>
        <v>1563828.9606436437</v>
      </c>
      <c r="AI18" s="9">
        <v>0.98044942000000002</v>
      </c>
      <c r="AK18" s="11">
        <f t="shared" si="4"/>
        <v>-29107.242329573655</v>
      </c>
      <c r="AL18" s="11">
        <f t="shared" si="13"/>
        <v>12278.739565516556</v>
      </c>
      <c r="AM18" s="5">
        <f t="shared" si="14"/>
        <v>2316743.3142484073</v>
      </c>
      <c r="AN18" s="9">
        <v>0.97278063100000001</v>
      </c>
      <c r="AP18" s="11">
        <f t="shared" si="5"/>
        <v>-105989.62804631858</v>
      </c>
      <c r="AQ18" s="11">
        <f t="shared" si="15"/>
        <v>6521.4119665318913</v>
      </c>
      <c r="AR18" s="20">
        <f t="shared" si="16"/>
        <v>1230455.0880248849</v>
      </c>
      <c r="AS18" s="9">
        <v>0.93654775899999998</v>
      </c>
      <c r="AU18" s="11">
        <f t="shared" si="6"/>
        <v>-130237.38331297245</v>
      </c>
      <c r="AV18" s="11">
        <f t="shared" si="17"/>
        <v>5674.9660799331114</v>
      </c>
      <c r="AW18" s="5">
        <f t="shared" si="18"/>
        <v>1070748.3169685116</v>
      </c>
      <c r="AX18" s="9">
        <v>0.98970666799999996</v>
      </c>
      <c r="AZ18" s="11">
        <f t="shared" si="19"/>
        <v>9297.0125108429329</v>
      </c>
      <c r="BA18" s="9">
        <v>0.98033046000000001</v>
      </c>
    </row>
    <row r="19" spans="16:53" x14ac:dyDescent="0.2">
      <c r="P19" s="9">
        <v>16</v>
      </c>
      <c r="Q19" s="11">
        <f t="shared" si="0"/>
        <v>-106224.5627620559</v>
      </c>
      <c r="R19" s="11">
        <f t="shared" si="20"/>
        <v>6625.3080990469716</v>
      </c>
      <c r="S19" s="5">
        <f t="shared" si="21"/>
        <v>1250058.1318956548</v>
      </c>
      <c r="T19" s="9">
        <v>0.86078447000000002</v>
      </c>
      <c r="V19" s="11">
        <f t="shared" si="1"/>
        <v>-143039.84533130433</v>
      </c>
      <c r="W19" s="11">
        <f t="shared" si="7"/>
        <v>5093.2181468293657</v>
      </c>
      <c r="X19" s="20">
        <f t="shared" si="8"/>
        <v>960984.55600554089</v>
      </c>
      <c r="Y19" s="9">
        <v>1.04029208</v>
      </c>
      <c r="AA19" s="11">
        <f t="shared" si="2"/>
        <v>-139357.86304432745</v>
      </c>
      <c r="AB19" s="11">
        <f t="shared" si="9"/>
        <v>4230.9490478080334</v>
      </c>
      <c r="AC19" s="5">
        <f t="shared" si="10"/>
        <v>798292.27317132696</v>
      </c>
      <c r="AD19" s="9">
        <v>0.88649199200000006</v>
      </c>
      <c r="AF19" s="11">
        <f t="shared" si="3"/>
        <v>-98745.31608855362</v>
      </c>
      <c r="AG19" s="11">
        <f t="shared" si="11"/>
        <v>7996.1527451319007</v>
      </c>
      <c r="AH19" s="5">
        <f t="shared" si="12"/>
        <v>1508708.0651192267</v>
      </c>
      <c r="AI19" s="9">
        <v>0.96475260600000001</v>
      </c>
      <c r="AK19" s="11">
        <f t="shared" si="4"/>
        <v>-16926.110357223832</v>
      </c>
      <c r="AL19" s="11">
        <f t="shared" si="13"/>
        <v>12181.131972349824</v>
      </c>
      <c r="AM19" s="5">
        <f t="shared" si="14"/>
        <v>2298326.787235816</v>
      </c>
      <c r="AN19" s="9">
        <v>0.99205068299999999</v>
      </c>
      <c r="AP19" s="11">
        <f t="shared" si="5"/>
        <v>-99779.174544949128</v>
      </c>
      <c r="AQ19" s="11">
        <f t="shared" si="15"/>
        <v>6210.4535013694604</v>
      </c>
      <c r="AR19" s="20">
        <f t="shared" si="16"/>
        <v>1171783.6795036716</v>
      </c>
      <c r="AS19" s="9">
        <v>0.95231730999999997</v>
      </c>
      <c r="AU19" s="11">
        <f t="shared" si="6"/>
        <v>-124778.66938591994</v>
      </c>
      <c r="AV19" s="11">
        <f t="shared" si="17"/>
        <v>5458.7139270525095</v>
      </c>
      <c r="AW19" s="5">
        <f t="shared" si="18"/>
        <v>1029946.0239721716</v>
      </c>
      <c r="AX19" s="9">
        <v>0.96189366600000004</v>
      </c>
      <c r="AZ19" s="11">
        <f t="shared" si="19"/>
        <v>9120.6579174843409</v>
      </c>
      <c r="BA19" s="9">
        <v>0.98103104699999999</v>
      </c>
    </row>
    <row r="20" spans="16:53" x14ac:dyDescent="0.2">
      <c r="P20" s="9">
        <v>17</v>
      </c>
      <c r="Q20" s="11">
        <f t="shared" si="0"/>
        <v>-99921.184558328765</v>
      </c>
      <c r="R20" s="11">
        <f t="shared" si="20"/>
        <v>6303.3782037271312</v>
      </c>
      <c r="S20" s="5">
        <f t="shared" si="21"/>
        <v>1189316.6422126661</v>
      </c>
      <c r="T20" s="9">
        <v>0.95140906800000002</v>
      </c>
      <c r="V20" s="11">
        <f t="shared" si="1"/>
        <v>-138172.21502982968</v>
      </c>
      <c r="W20" s="11">
        <f t="shared" si="7"/>
        <v>4867.6303014746654</v>
      </c>
      <c r="X20" s="20">
        <f t="shared" si="8"/>
        <v>918420.81159899372</v>
      </c>
      <c r="Y20" s="9">
        <v>0.95570819100000004</v>
      </c>
      <c r="AA20" s="11">
        <f t="shared" si="2"/>
        <v>-135510.23662634712</v>
      </c>
      <c r="AB20" s="11">
        <f t="shared" si="9"/>
        <v>3847.6264179803211</v>
      </c>
      <c r="AC20" s="5">
        <f t="shared" si="10"/>
        <v>725967.24867553217</v>
      </c>
      <c r="AD20" s="9">
        <v>0.90940032000000004</v>
      </c>
      <c r="AF20" s="11">
        <f t="shared" si="3"/>
        <v>-91077.307348792121</v>
      </c>
      <c r="AG20" s="11">
        <f t="shared" si="11"/>
        <v>7668.0087397615025</v>
      </c>
      <c r="AH20" s="5">
        <f t="shared" si="12"/>
        <v>1446794.1018417929</v>
      </c>
      <c r="AI20" s="9">
        <v>0.95896226399999995</v>
      </c>
      <c r="AK20" s="11">
        <f t="shared" si="4"/>
        <v>-4662.5583122736389</v>
      </c>
      <c r="AL20" s="11">
        <f t="shared" si="13"/>
        <v>12263.552044950193</v>
      </c>
      <c r="AM20" s="5">
        <f t="shared" si="14"/>
        <v>2313877.744330225</v>
      </c>
      <c r="AN20" s="9">
        <v>1.0067662079999999</v>
      </c>
      <c r="AP20" s="11">
        <f t="shared" si="5"/>
        <v>-94244.535501260791</v>
      </c>
      <c r="AQ20" s="11">
        <f t="shared" si="15"/>
        <v>5534.6390436883339</v>
      </c>
      <c r="AR20" s="20">
        <f t="shared" si="16"/>
        <v>1044271.517677044</v>
      </c>
      <c r="AS20" s="9">
        <v>0.89118114199999998</v>
      </c>
      <c r="AU20" s="11">
        <f t="shared" si="6"/>
        <v>-119495.08583843173</v>
      </c>
      <c r="AV20" s="11">
        <f t="shared" si="17"/>
        <v>5283.5835474882115</v>
      </c>
      <c r="AW20" s="5">
        <f t="shared" si="18"/>
        <v>996902.55612985126</v>
      </c>
      <c r="AX20" s="9">
        <v>0.96791728200000005</v>
      </c>
      <c r="AZ20" s="11">
        <f t="shared" si="19"/>
        <v>8692.4288000320994</v>
      </c>
      <c r="BA20" s="9">
        <v>0.95304844</v>
      </c>
    </row>
    <row r="21" spans="16:53" x14ac:dyDescent="0.2">
      <c r="P21" s="9">
        <v>18</v>
      </c>
      <c r="Q21" s="11">
        <f t="shared" si="0"/>
        <v>-93774.185276006596</v>
      </c>
      <c r="R21" s="11">
        <f t="shared" si="20"/>
        <v>6146.9992823221719</v>
      </c>
      <c r="S21" s="5">
        <f t="shared" si="21"/>
        <v>1159811.1853438059</v>
      </c>
      <c r="T21" s="9">
        <v>0.97519125200000001</v>
      </c>
      <c r="V21" s="11">
        <f t="shared" si="1"/>
        <v>-133667.10621665872</v>
      </c>
      <c r="W21" s="11">
        <f t="shared" si="7"/>
        <v>4505.1088131709475</v>
      </c>
      <c r="X21" s="20">
        <f t="shared" si="8"/>
        <v>850020.53078697145</v>
      </c>
      <c r="Y21" s="9">
        <v>0.92552403000000005</v>
      </c>
      <c r="AA21" s="11">
        <f t="shared" si="2"/>
        <v>-131745.58712316171</v>
      </c>
      <c r="AB21" s="11">
        <f t="shared" si="9"/>
        <v>3764.6495031853997</v>
      </c>
      <c r="AC21" s="5">
        <f t="shared" si="10"/>
        <v>710311.22701611312</v>
      </c>
      <c r="AD21" s="9">
        <v>0.97843425900000003</v>
      </c>
      <c r="AF21" s="11">
        <f t="shared" si="3"/>
        <v>-83303.346158981265</v>
      </c>
      <c r="AG21" s="11">
        <f t="shared" si="11"/>
        <v>7773.9611898108587</v>
      </c>
      <c r="AH21" s="5">
        <f t="shared" si="12"/>
        <v>1466785.1301529922</v>
      </c>
      <c r="AI21" s="9">
        <v>1.0138174659999999</v>
      </c>
      <c r="AK21" s="11">
        <f t="shared" si="4"/>
        <v>7779.354490238853</v>
      </c>
      <c r="AL21" s="11">
        <f t="shared" si="13"/>
        <v>12441.912802512492</v>
      </c>
      <c r="AM21" s="5">
        <f t="shared" si="14"/>
        <v>2347530.7174551869</v>
      </c>
      <c r="AN21" s="9">
        <v>1.014543972</v>
      </c>
      <c r="AP21" s="11">
        <f t="shared" si="5"/>
        <v>-89093.843787988764</v>
      </c>
      <c r="AQ21" s="11">
        <f t="shared" si="15"/>
        <v>5150.6917132720218</v>
      </c>
      <c r="AR21" s="20">
        <f t="shared" si="16"/>
        <v>971828.62514566444</v>
      </c>
      <c r="AS21" s="9">
        <v>0.93062829800000002</v>
      </c>
      <c r="AU21" s="11">
        <f t="shared" si="6"/>
        <v>-114430.33463171551</v>
      </c>
      <c r="AV21" s="11">
        <f t="shared" si="17"/>
        <v>5064.7512067162215</v>
      </c>
      <c r="AW21" s="5">
        <f t="shared" si="18"/>
        <v>955613.43522947573</v>
      </c>
      <c r="AX21" s="9">
        <v>0.95858259099999998</v>
      </c>
      <c r="AZ21" s="11">
        <f t="shared" si="19"/>
        <v>8667.2554914574903</v>
      </c>
      <c r="BA21" s="9">
        <v>0.99710399599999999</v>
      </c>
    </row>
    <row r="22" spans="16:53" x14ac:dyDescent="0.2">
      <c r="P22" s="9">
        <v>19</v>
      </c>
      <c r="Q22" s="11">
        <f t="shared" si="0"/>
        <v>-87744.79759438397</v>
      </c>
      <c r="R22" s="11">
        <f t="shared" si="20"/>
        <v>6029.3876816226266</v>
      </c>
      <c r="S22" s="5">
        <f t="shared" si="21"/>
        <v>1137620.3172872879</v>
      </c>
      <c r="T22" s="9">
        <v>0.98086682700000005</v>
      </c>
      <c r="V22" s="11">
        <f t="shared" si="1"/>
        <v>-129102.97568009434</v>
      </c>
      <c r="W22" s="11">
        <f t="shared" si="7"/>
        <v>4564.130536564373</v>
      </c>
      <c r="X22" s="20">
        <f t="shared" si="8"/>
        <v>861156.70501214615</v>
      </c>
      <c r="Y22" s="9">
        <v>1.0131010650000001</v>
      </c>
      <c r="AA22" s="11">
        <f t="shared" si="2"/>
        <v>-128000.11431914014</v>
      </c>
      <c r="AB22" s="11">
        <f t="shared" si="9"/>
        <v>3745.4728040215668</v>
      </c>
      <c r="AC22" s="5">
        <f t="shared" si="10"/>
        <v>706692.98189086164</v>
      </c>
      <c r="AD22" s="9">
        <v>0.99490611299999998</v>
      </c>
      <c r="AF22" s="11">
        <f t="shared" si="3"/>
        <v>-75839.813084904439</v>
      </c>
      <c r="AG22" s="11">
        <f t="shared" si="11"/>
        <v>7463.5330740768322</v>
      </c>
      <c r="AH22" s="5">
        <f t="shared" si="12"/>
        <v>1408213.7875616665</v>
      </c>
      <c r="AI22" s="9">
        <v>0.96006821900000006</v>
      </c>
      <c r="AK22" s="11">
        <f t="shared" si="4"/>
        <v>19430.404968748531</v>
      </c>
      <c r="AL22" s="11">
        <f t="shared" si="13"/>
        <v>11651.050478509676</v>
      </c>
      <c r="AM22" s="5">
        <f t="shared" si="14"/>
        <v>2198311.4110395615</v>
      </c>
      <c r="AN22" s="9">
        <v>0.93643563200000002</v>
      </c>
      <c r="AP22" s="11">
        <f t="shared" si="5"/>
        <v>-83772.30195146201</v>
      </c>
      <c r="AQ22" s="11">
        <f t="shared" si="15"/>
        <v>5321.5418365267533</v>
      </c>
      <c r="AR22" s="20">
        <f t="shared" si="16"/>
        <v>1004064.497457878</v>
      </c>
      <c r="AS22" s="9">
        <v>1.033170326</v>
      </c>
      <c r="AU22" s="11">
        <f t="shared" si="6"/>
        <v>-109688.42966479715</v>
      </c>
      <c r="AV22" s="11">
        <f t="shared" si="17"/>
        <v>4741.9049669183532</v>
      </c>
      <c r="AW22" s="5">
        <f t="shared" si="18"/>
        <v>894699.05036195344</v>
      </c>
      <c r="AX22" s="9">
        <v>0.93625624900000004</v>
      </c>
      <c r="AZ22" s="11">
        <f t="shared" si="19"/>
        <v>8419.76508777462</v>
      </c>
      <c r="BA22" s="9">
        <v>0.97144535499999995</v>
      </c>
    </row>
    <row r="23" spans="16:53" x14ac:dyDescent="0.2">
      <c r="P23" s="9">
        <v>20</v>
      </c>
      <c r="Q23" s="11">
        <f t="shared" si="0"/>
        <v>-82073.429653464322</v>
      </c>
      <c r="R23" s="11">
        <f t="shared" si="20"/>
        <v>5671.3679409196475</v>
      </c>
      <c r="S23" s="5">
        <f t="shared" si="21"/>
        <v>1070069.4228150276</v>
      </c>
      <c r="T23" s="9">
        <v>0.94062087900000002</v>
      </c>
      <c r="V23" s="11">
        <f t="shared" si="1"/>
        <v>-124558.05963559868</v>
      </c>
      <c r="W23" s="11">
        <f t="shared" si="7"/>
        <v>4544.9160444956651</v>
      </c>
      <c r="X23" s="20">
        <f t="shared" si="8"/>
        <v>857531.32915012585</v>
      </c>
      <c r="Y23" s="9">
        <v>0.99579010899999998</v>
      </c>
      <c r="AA23" s="11">
        <f t="shared" si="2"/>
        <v>-124292.68493035581</v>
      </c>
      <c r="AB23" s="11">
        <f t="shared" si="9"/>
        <v>3707.4293887843251</v>
      </c>
      <c r="AC23" s="5">
        <f t="shared" si="10"/>
        <v>699514.9790159103</v>
      </c>
      <c r="AD23" s="9">
        <v>0.98984282700000004</v>
      </c>
      <c r="AF23" s="11">
        <f t="shared" si="3"/>
        <v>-68362.335891985305</v>
      </c>
      <c r="AG23" s="11">
        <f t="shared" si="11"/>
        <v>7477.4771929191293</v>
      </c>
      <c r="AH23" s="5">
        <f t="shared" si="12"/>
        <v>1410844.7533809678</v>
      </c>
      <c r="AI23" s="9">
        <v>1.0018682999999999</v>
      </c>
      <c r="AK23" s="11">
        <f t="shared" si="4"/>
        <v>30869.941449646758</v>
      </c>
      <c r="AL23" s="11">
        <f t="shared" si="13"/>
        <v>11439.536480898229</v>
      </c>
      <c r="AM23" s="5">
        <f t="shared" si="14"/>
        <v>2158403.109603439</v>
      </c>
      <c r="AN23" s="9">
        <v>0.98184592900000001</v>
      </c>
      <c r="AP23" s="11">
        <f t="shared" si="5"/>
        <v>-79068.707302057388</v>
      </c>
      <c r="AQ23" s="11">
        <f t="shared" si="15"/>
        <v>4703.594649404622</v>
      </c>
      <c r="AR23" s="20">
        <f t="shared" si="16"/>
        <v>887470.68856690975</v>
      </c>
      <c r="AS23" s="9">
        <v>0.88387816799999996</v>
      </c>
      <c r="AU23" s="11">
        <f t="shared" si="6"/>
        <v>-105118.4298395034</v>
      </c>
      <c r="AV23" s="11">
        <f t="shared" si="17"/>
        <v>4569.9998252937503</v>
      </c>
      <c r="AW23" s="5">
        <f t="shared" si="18"/>
        <v>862264.11797995283</v>
      </c>
      <c r="AX23" s="9">
        <v>0.96374766199999995</v>
      </c>
      <c r="AZ23" s="11">
        <f t="shared" si="19"/>
        <v>8140.3130592520856</v>
      </c>
      <c r="BA23" s="9">
        <v>0.96680999700000003</v>
      </c>
    </row>
    <row r="24" spans="16:53" x14ac:dyDescent="0.2">
      <c r="P24" s="9">
        <v>21</v>
      </c>
      <c r="Q24" s="11">
        <f t="shared" si="0"/>
        <v>-76601.595278676134</v>
      </c>
      <c r="R24" s="11">
        <f t="shared" si="20"/>
        <v>5471.8343747881927</v>
      </c>
      <c r="S24" s="5">
        <f t="shared" si="21"/>
        <v>1032421.5801487154</v>
      </c>
      <c r="T24" s="9">
        <v>0.96481738299999997</v>
      </c>
      <c r="V24" s="11">
        <f t="shared" si="1"/>
        <v>-120195.76232184189</v>
      </c>
      <c r="W24" s="11">
        <f t="shared" si="7"/>
        <v>4362.2973137567942</v>
      </c>
      <c r="X24" s="20">
        <f t="shared" si="8"/>
        <v>823074.96485977282</v>
      </c>
      <c r="Y24" s="9">
        <v>0.95981911900000005</v>
      </c>
      <c r="AA24" s="11">
        <f t="shared" si="2"/>
        <v>-120715.70218239431</v>
      </c>
      <c r="AB24" s="11">
        <f t="shared" si="9"/>
        <v>3576.9827479615001</v>
      </c>
      <c r="AC24" s="5">
        <f t="shared" si="10"/>
        <v>674902.40527575463</v>
      </c>
      <c r="AD24" s="9">
        <v>0.96481480099999994</v>
      </c>
      <c r="AF24" s="11">
        <f t="shared" si="3"/>
        <v>-61101.56404135991</v>
      </c>
      <c r="AG24" s="11">
        <f t="shared" si="11"/>
        <v>7260.7718506253959</v>
      </c>
      <c r="AH24" s="5">
        <f t="shared" si="12"/>
        <v>1369956.9529481879</v>
      </c>
      <c r="AI24" s="9">
        <v>0.97101892300000003</v>
      </c>
      <c r="AK24" s="11">
        <f t="shared" si="4"/>
        <v>42054.068291819814</v>
      </c>
      <c r="AL24" s="11">
        <f t="shared" si="13"/>
        <v>11184.12684217306</v>
      </c>
      <c r="AM24" s="5">
        <f t="shared" si="14"/>
        <v>2110212.6117307656</v>
      </c>
      <c r="AN24" s="9">
        <v>0.97767307800000003</v>
      </c>
      <c r="AP24" s="11">
        <f t="shared" si="5"/>
        <v>-74577.59136511985</v>
      </c>
      <c r="AQ24" s="11">
        <f t="shared" si="15"/>
        <v>4491.1159369375428</v>
      </c>
      <c r="AR24" s="20">
        <f t="shared" si="16"/>
        <v>847380.36545991362</v>
      </c>
      <c r="AS24" s="9">
        <v>0.95482631299999998</v>
      </c>
      <c r="AU24" s="11">
        <f t="shared" si="6"/>
        <v>-100579.23103567515</v>
      </c>
      <c r="AV24" s="11">
        <f t="shared" si="17"/>
        <v>4539.1988038282407</v>
      </c>
      <c r="AW24" s="5">
        <f t="shared" si="18"/>
        <v>856452.6044958944</v>
      </c>
      <c r="AX24" s="9">
        <v>0.99326017010000001</v>
      </c>
      <c r="AZ24" s="11">
        <f t="shared" si="19"/>
        <v>7950.6646937163878</v>
      </c>
      <c r="BA24" s="9">
        <v>0.97670257100000002</v>
      </c>
    </row>
    <row r="25" spans="16:53" x14ac:dyDescent="0.2">
      <c r="P25" s="9">
        <v>22</v>
      </c>
      <c r="Q25" s="11">
        <f t="shared" si="0"/>
        <v>-71150.414227827059</v>
      </c>
      <c r="R25" s="11">
        <f t="shared" si="20"/>
        <v>5451.1810508490762</v>
      </c>
      <c r="S25" s="5">
        <f t="shared" si="21"/>
        <v>1028524.7265752972</v>
      </c>
      <c r="T25" s="9">
        <v>0.99622552099999995</v>
      </c>
      <c r="V25" s="11">
        <f t="shared" si="1"/>
        <v>-115183.98281082397</v>
      </c>
      <c r="W25" s="11">
        <f t="shared" si="7"/>
        <v>5011.7795110179131</v>
      </c>
      <c r="X25" s="20">
        <f t="shared" si="8"/>
        <v>945618.77566375758</v>
      </c>
      <c r="Y25" s="9">
        <v>1.148885358</v>
      </c>
      <c r="AA25" s="11">
        <f t="shared" si="2"/>
        <v>-117126.41873088696</v>
      </c>
      <c r="AB25" s="11">
        <f t="shared" si="9"/>
        <v>3589.2834515073446</v>
      </c>
      <c r="AC25" s="5">
        <f t="shared" si="10"/>
        <v>677223.29273723473</v>
      </c>
      <c r="AD25" s="9">
        <v>1.0034388489999999</v>
      </c>
      <c r="AF25" s="11">
        <f t="shared" si="3"/>
        <v>-54102.072997144583</v>
      </c>
      <c r="AG25" s="11">
        <f t="shared" si="11"/>
        <v>6999.4910442153287</v>
      </c>
      <c r="AH25" s="5">
        <f t="shared" si="12"/>
        <v>1320658.6875877979</v>
      </c>
      <c r="AI25" s="9">
        <v>0.96401473400000004</v>
      </c>
      <c r="AK25" s="11">
        <f t="shared" si="4"/>
        <v>53093.913690538444</v>
      </c>
      <c r="AL25" s="11">
        <f t="shared" si="13"/>
        <v>11039.845398718631</v>
      </c>
      <c r="AM25" s="5">
        <f t="shared" si="14"/>
        <v>2082989.6978714392</v>
      </c>
      <c r="AN25" s="9">
        <v>0.98709944500000002</v>
      </c>
      <c r="AP25" s="11">
        <f t="shared" si="5"/>
        <v>-70342.097410217306</v>
      </c>
      <c r="AQ25" s="11">
        <f t="shared" si="15"/>
        <v>4235.4939549025366</v>
      </c>
      <c r="AR25" s="20">
        <f t="shared" si="16"/>
        <v>799149.80281179934</v>
      </c>
      <c r="AS25" s="9">
        <v>0.94308274700000005</v>
      </c>
      <c r="AU25" s="11">
        <f t="shared" si="6"/>
        <v>-96172.750742703269</v>
      </c>
      <c r="AV25" s="11">
        <f t="shared" si="17"/>
        <v>4406.4802929718835</v>
      </c>
      <c r="AW25" s="5">
        <f t="shared" si="18"/>
        <v>831411.3760324308</v>
      </c>
      <c r="AX25" s="9">
        <v>0.97076168799999996</v>
      </c>
      <c r="AZ25" s="11">
        <f t="shared" si="19"/>
        <v>7848.4157985253596</v>
      </c>
      <c r="BA25" s="9">
        <v>0.98713957900000004</v>
      </c>
    </row>
    <row r="26" spans="16:53" x14ac:dyDescent="0.2">
      <c r="P26" s="9">
        <v>23</v>
      </c>
      <c r="Q26" s="11">
        <f t="shared" si="0"/>
        <v>-66058.635561764342</v>
      </c>
      <c r="R26" s="11">
        <f t="shared" si="20"/>
        <v>5091.7786660627162</v>
      </c>
      <c r="S26" s="5">
        <f t="shared" si="21"/>
        <v>960712.95586088963</v>
      </c>
      <c r="T26" s="9">
        <v>0.93406889599999998</v>
      </c>
      <c r="V26" s="11">
        <f t="shared" si="1"/>
        <v>-110590.91343644529</v>
      </c>
      <c r="W26" s="11">
        <f t="shared" si="7"/>
        <v>4593.0693743786815</v>
      </c>
      <c r="X26" s="20">
        <f t="shared" si="8"/>
        <v>866616.86309031758</v>
      </c>
      <c r="Y26" s="9">
        <v>0.9164547970000001</v>
      </c>
      <c r="AA26" s="11">
        <f t="shared" si="2"/>
        <v>-113461.696595581</v>
      </c>
      <c r="AB26" s="11">
        <f t="shared" si="9"/>
        <v>3664.722135305964</v>
      </c>
      <c r="AC26" s="5">
        <f t="shared" si="10"/>
        <v>691457.00666150253</v>
      </c>
      <c r="AD26" s="9">
        <v>1.021017756</v>
      </c>
      <c r="AF26" s="11">
        <f t="shared" si="3"/>
        <v>-46956.740172559978</v>
      </c>
      <c r="AG26" s="11">
        <f t="shared" si="11"/>
        <v>7145.332824584606</v>
      </c>
      <c r="AH26" s="5">
        <f t="shared" si="12"/>
        <v>1348176.0046386051</v>
      </c>
      <c r="AI26" s="9">
        <v>1.020836055</v>
      </c>
      <c r="AK26" s="11">
        <f t="shared" si="4"/>
        <v>64254.147963019073</v>
      </c>
      <c r="AL26" s="11">
        <f t="shared" si="13"/>
        <v>11160.234272480626</v>
      </c>
      <c r="AM26" s="5">
        <f t="shared" si="14"/>
        <v>2105704.579713325</v>
      </c>
      <c r="AN26" s="9">
        <v>1.010904942</v>
      </c>
      <c r="AP26" s="11">
        <f t="shared" si="5"/>
        <v>-66191.861271794784</v>
      </c>
      <c r="AQ26" s="11">
        <f t="shared" si="15"/>
        <v>4150.2361384225278</v>
      </c>
      <c r="AR26" s="20">
        <f t="shared" si="16"/>
        <v>783063.42234387319</v>
      </c>
      <c r="AS26" s="9">
        <v>0.97987063200000002</v>
      </c>
      <c r="AU26" s="11">
        <f t="shared" si="6"/>
        <v>-91964.461273491383</v>
      </c>
      <c r="AV26" s="11">
        <f t="shared" si="17"/>
        <v>4208.2894692118898</v>
      </c>
      <c r="AW26" s="5">
        <f t="shared" si="18"/>
        <v>794016.88098337536</v>
      </c>
      <c r="AX26" s="9">
        <v>0.95502287299999999</v>
      </c>
      <c r="AZ26" s="11">
        <f t="shared" si="19"/>
        <v>7734.5702107390598</v>
      </c>
      <c r="BA26" s="9">
        <v>0.98549445000000002</v>
      </c>
    </row>
    <row r="27" spans="16:53" x14ac:dyDescent="0.2">
      <c r="P27" s="9">
        <v>24</v>
      </c>
      <c r="Q27" s="11">
        <f t="shared" si="0"/>
        <v>-61086.888133573644</v>
      </c>
      <c r="R27" s="11">
        <f t="shared" si="20"/>
        <v>4971.747428190698</v>
      </c>
      <c r="S27" s="5">
        <f t="shared" si="21"/>
        <v>938065.55248881073</v>
      </c>
      <c r="T27" s="9">
        <v>0.97642646200000005</v>
      </c>
      <c r="V27" s="11">
        <f t="shared" si="1"/>
        <v>-106381.57297534216</v>
      </c>
      <c r="W27" s="11">
        <f t="shared" si="7"/>
        <v>4209.3404611031319</v>
      </c>
      <c r="X27" s="20">
        <f t="shared" si="8"/>
        <v>794215.18134021387</v>
      </c>
      <c r="Y27" s="9">
        <v>0.9164547970000001</v>
      </c>
      <c r="AA27" s="11">
        <f t="shared" si="2"/>
        <v>-109559.31584087075</v>
      </c>
      <c r="AB27" s="11">
        <f t="shared" si="9"/>
        <v>3902.3807547102447</v>
      </c>
      <c r="AC27" s="5">
        <f t="shared" si="10"/>
        <v>736298.25560570648</v>
      </c>
      <c r="AD27" s="9">
        <v>1.0648503789999999</v>
      </c>
      <c r="AF27" s="11">
        <f t="shared" si="3"/>
        <v>-40065.83039214708</v>
      </c>
      <c r="AG27" s="11">
        <f t="shared" si="11"/>
        <v>6890.9097804128969</v>
      </c>
      <c r="AH27" s="5">
        <f t="shared" si="12"/>
        <v>1300171.6566816787</v>
      </c>
      <c r="AI27" s="9">
        <v>0.96439311500000002</v>
      </c>
      <c r="AK27" s="11">
        <f t="shared" si="4"/>
        <v>75381.599415612014</v>
      </c>
      <c r="AL27" s="11">
        <f t="shared" si="13"/>
        <v>11127.451452592944</v>
      </c>
      <c r="AM27" s="5">
        <f t="shared" si="14"/>
        <v>2099519.1419986682</v>
      </c>
      <c r="AN27" s="9">
        <v>0.99706253300000003</v>
      </c>
      <c r="AP27" s="11">
        <f t="shared" si="5"/>
        <v>-62256.950187298287</v>
      </c>
      <c r="AQ27" s="11">
        <f t="shared" si="15"/>
        <v>3934.9110844964985</v>
      </c>
      <c r="AR27" s="20">
        <f t="shared" si="16"/>
        <v>742436.05367858463</v>
      </c>
      <c r="AS27" s="9">
        <v>0.94811739699999997</v>
      </c>
      <c r="AU27" s="11">
        <f t="shared" si="6"/>
        <v>-87792.1331990693</v>
      </c>
      <c r="AV27" s="11">
        <f t="shared" si="17"/>
        <v>4172.328074422081</v>
      </c>
      <c r="AW27" s="5">
        <f t="shared" si="18"/>
        <v>787231.71215510962</v>
      </c>
      <c r="AX27" s="9">
        <v>0.99145462900000003</v>
      </c>
      <c r="AZ27" s="11">
        <f t="shared" si="19"/>
        <v>7651.8377053318382</v>
      </c>
      <c r="BA27" s="9">
        <v>0.98930354200000004</v>
      </c>
    </row>
    <row r="28" spans="16:53" x14ac:dyDescent="0.2">
      <c r="P28" s="9">
        <v>25</v>
      </c>
      <c r="Q28" s="11">
        <f t="shared" si="0"/>
        <v>-56171.65649240894</v>
      </c>
      <c r="R28" s="11">
        <f t="shared" si="20"/>
        <v>4915.2316411647043</v>
      </c>
      <c r="S28" s="5">
        <f t="shared" si="21"/>
        <v>927402.19644617045</v>
      </c>
      <c r="T28" s="9">
        <v>0.98863261099999999</v>
      </c>
      <c r="V28" s="11">
        <f t="shared" si="1"/>
        <v>-102048.40218706639</v>
      </c>
      <c r="W28" s="11">
        <f t="shared" si="7"/>
        <v>4333.1707882757782</v>
      </c>
      <c r="X28" s="20">
        <f t="shared" si="8"/>
        <v>817579.3940142981</v>
      </c>
      <c r="Y28" s="9">
        <v>1.0294179880000001</v>
      </c>
      <c r="AA28" s="11">
        <f t="shared" si="2"/>
        <v>-105846.17994038881</v>
      </c>
      <c r="AB28" s="11">
        <f t="shared" si="9"/>
        <v>3713.1359004819442</v>
      </c>
      <c r="AC28" s="5">
        <f t="shared" si="10"/>
        <v>700591.67933621584</v>
      </c>
      <c r="AD28" s="9">
        <v>0.95150528199999995</v>
      </c>
      <c r="AF28" s="11">
        <f t="shared" si="3"/>
        <v>-33370.938363256791</v>
      </c>
      <c r="AG28" s="11">
        <f t="shared" si="11"/>
        <v>6694.8920288902873</v>
      </c>
      <c r="AH28" s="5">
        <f t="shared" si="12"/>
        <v>1263187.1752623185</v>
      </c>
      <c r="AI28" s="9">
        <v>0.97155415499999997</v>
      </c>
      <c r="AK28" s="11">
        <f t="shared" si="4"/>
        <v>86821.135889389669</v>
      </c>
      <c r="AL28" s="11">
        <f t="shared" si="13"/>
        <v>11439.536473777656</v>
      </c>
      <c r="AM28" s="5">
        <f t="shared" si="14"/>
        <v>2158403.1082599345</v>
      </c>
      <c r="AN28" s="9">
        <v>1.0280464060000001</v>
      </c>
      <c r="AP28" s="11">
        <f t="shared" si="5"/>
        <v>-58602.299953582165</v>
      </c>
      <c r="AQ28" s="11">
        <f t="shared" si="15"/>
        <v>3654.6502337161246</v>
      </c>
      <c r="AR28" s="20">
        <f t="shared" si="16"/>
        <v>689556.64787096693</v>
      </c>
      <c r="AS28" s="9">
        <v>0.92877581099999995</v>
      </c>
      <c r="AU28" s="11">
        <f t="shared" si="6"/>
        <v>-83711.724382688451</v>
      </c>
      <c r="AV28" s="11">
        <f t="shared" si="17"/>
        <v>4080.4088163808474</v>
      </c>
      <c r="AW28" s="5">
        <f t="shared" si="18"/>
        <v>769888.45592091465</v>
      </c>
      <c r="AX28" s="9">
        <v>0.97796931200000004</v>
      </c>
      <c r="AZ28" s="11">
        <f t="shared" si="19"/>
        <v>7565.2867743079287</v>
      </c>
      <c r="BA28" s="9">
        <v>0.98868887000000005</v>
      </c>
    </row>
    <row r="29" spans="16:53" x14ac:dyDescent="0.2">
      <c r="P29" s="9">
        <v>26</v>
      </c>
      <c r="Q29" s="11">
        <f t="shared" si="0"/>
        <v>-51219.352566925823</v>
      </c>
      <c r="R29" s="11">
        <f t="shared" si="20"/>
        <v>4952.3039254831147</v>
      </c>
      <c r="S29" s="5">
        <f t="shared" si="21"/>
        <v>934396.9670722856</v>
      </c>
      <c r="T29" s="9">
        <v>1.0075423269999999</v>
      </c>
      <c r="V29" s="11">
        <f t="shared" si="1"/>
        <v>-98118.11597786285</v>
      </c>
      <c r="W29" s="11">
        <f t="shared" si="7"/>
        <v>3930.2862092035375</v>
      </c>
      <c r="X29" s="20">
        <f t="shared" si="8"/>
        <v>741563.43569878093</v>
      </c>
      <c r="Y29" s="9">
        <v>0.90702314799999995</v>
      </c>
      <c r="AA29" s="11">
        <f t="shared" si="2"/>
        <v>-101411.41682293848</v>
      </c>
      <c r="AB29" s="11">
        <f t="shared" si="9"/>
        <v>4434.763117450334</v>
      </c>
      <c r="AC29" s="5">
        <f t="shared" si="10"/>
        <v>836747.75800949696</v>
      </c>
      <c r="AD29" s="9">
        <v>1.194344413</v>
      </c>
      <c r="AF29" s="11">
        <f t="shared" si="3"/>
        <v>-26632.15664408249</v>
      </c>
      <c r="AG29" s="11">
        <f t="shared" si="11"/>
        <v>6738.7817191742997</v>
      </c>
      <c r="AH29" s="5">
        <f t="shared" si="12"/>
        <v>1271468.2489008114</v>
      </c>
      <c r="AI29" s="9">
        <v>1.0065556980000001</v>
      </c>
      <c r="AK29" s="11">
        <f t="shared" si="4"/>
        <v>98337.350821141648</v>
      </c>
      <c r="AL29" s="11">
        <f t="shared" si="13"/>
        <v>11516.21493175198</v>
      </c>
      <c r="AM29" s="5">
        <f t="shared" si="14"/>
        <v>2172870.7418399956</v>
      </c>
      <c r="AN29" s="9">
        <v>1.006702934</v>
      </c>
      <c r="AP29" s="11">
        <f t="shared" si="5"/>
        <v>-55053.614538196576</v>
      </c>
      <c r="AQ29" s="11">
        <f t="shared" si="15"/>
        <v>3548.6854153855884</v>
      </c>
      <c r="AR29" s="20">
        <f t="shared" si="16"/>
        <v>669563.28592180915</v>
      </c>
      <c r="AS29" s="9">
        <v>0.971005483</v>
      </c>
      <c r="AU29" s="11">
        <f t="shared" si="6"/>
        <v>-79797.254020890381</v>
      </c>
      <c r="AV29" s="11">
        <f t="shared" si="17"/>
        <v>3914.4703617980736</v>
      </c>
      <c r="AW29" s="5">
        <f t="shared" si="18"/>
        <v>738579.31354680646</v>
      </c>
      <c r="AX29" s="9">
        <v>0.95933288500000002</v>
      </c>
      <c r="AZ29" s="11">
        <f t="shared" si="19"/>
        <v>7283.0062852740339</v>
      </c>
      <c r="BA29" s="9">
        <v>0.96268740399999997</v>
      </c>
    </row>
    <row r="30" spans="16:53" x14ac:dyDescent="0.2">
      <c r="P30" s="9">
        <v>27</v>
      </c>
      <c r="Q30" s="11">
        <f t="shared" si="0"/>
        <v>-46368.500529390156</v>
      </c>
      <c r="R30" s="11">
        <f t="shared" si="20"/>
        <v>4850.8520375356684</v>
      </c>
      <c r="S30" s="5">
        <f t="shared" si="21"/>
        <v>915255.10142182407</v>
      </c>
      <c r="T30" s="9">
        <v>0.979514204</v>
      </c>
      <c r="V30" s="11">
        <f t="shared" si="1"/>
        <v>-94127.899899878408</v>
      </c>
      <c r="W30" s="11">
        <f t="shared" si="7"/>
        <v>3990.2160779844389</v>
      </c>
      <c r="X30" s="20">
        <f t="shared" si="8"/>
        <v>752870.95811027172</v>
      </c>
      <c r="Y30" s="9">
        <v>1.0152482199999999</v>
      </c>
      <c r="AA30" s="11">
        <f t="shared" si="2"/>
        <v>-96733.880359458781</v>
      </c>
      <c r="AB30" s="11">
        <f t="shared" si="9"/>
        <v>4677.536463479697</v>
      </c>
      <c r="AC30" s="5">
        <f t="shared" si="10"/>
        <v>882554.04971315037</v>
      </c>
      <c r="AD30" s="9">
        <v>1.05474325</v>
      </c>
      <c r="AF30" s="11">
        <f t="shared" si="3"/>
        <v>-20022.872368077442</v>
      </c>
      <c r="AG30" s="11">
        <f t="shared" si="11"/>
        <v>6609.284276005048</v>
      </c>
      <c r="AH30" s="5">
        <f t="shared" si="12"/>
        <v>1247034.7690575563</v>
      </c>
      <c r="AI30" s="9">
        <v>0.98078325600000005</v>
      </c>
      <c r="AK30" s="11">
        <f t="shared" si="4"/>
        <v>109344.04297284501</v>
      </c>
      <c r="AL30" s="11">
        <f t="shared" si="13"/>
        <v>11006.692151703366</v>
      </c>
      <c r="AM30" s="5">
        <f t="shared" si="14"/>
        <v>2076734.3682459178</v>
      </c>
      <c r="AN30" s="9">
        <v>0.95575605500000005</v>
      </c>
      <c r="AP30" s="11">
        <f t="shared" si="5"/>
        <v>-51532.919233528737</v>
      </c>
      <c r="AQ30" s="11">
        <f t="shared" si="15"/>
        <v>3520.6953046678368</v>
      </c>
      <c r="AR30" s="20">
        <f t="shared" si="16"/>
        <v>664282.13295619562</v>
      </c>
      <c r="AS30" s="9">
        <v>0.99211254100000001</v>
      </c>
      <c r="AU30" s="11">
        <f t="shared" si="6"/>
        <v>-75870.527757718199</v>
      </c>
      <c r="AV30" s="11">
        <f t="shared" si="17"/>
        <v>3926.7262631721751</v>
      </c>
      <c r="AW30" s="5">
        <f t="shared" si="18"/>
        <v>740891.74776833504</v>
      </c>
      <c r="AX30" s="9">
        <v>1.003130922</v>
      </c>
      <c r="AZ30" s="11">
        <f t="shared" si="19"/>
        <v>7149.5028881128765</v>
      </c>
      <c r="BA30" s="9">
        <v>0.98166919100000005</v>
      </c>
    </row>
    <row r="31" spans="16:53" x14ac:dyDescent="0.2">
      <c r="P31" s="9">
        <v>28</v>
      </c>
      <c r="Q31" s="11">
        <f t="shared" si="0"/>
        <v>-41710.441647791078</v>
      </c>
      <c r="R31" s="11">
        <f t="shared" si="20"/>
        <v>4658.0588815990759</v>
      </c>
      <c r="S31" s="5">
        <f t="shared" si="21"/>
        <v>878879.03426397638</v>
      </c>
      <c r="T31" s="9">
        <v>0.96025581599999998</v>
      </c>
      <c r="V31" s="11">
        <f t="shared" si="1"/>
        <v>-90149.298714433055</v>
      </c>
      <c r="W31" s="11">
        <f t="shared" si="7"/>
        <v>3978.6011854453504</v>
      </c>
      <c r="X31" s="20">
        <f t="shared" si="8"/>
        <v>750679.46895195311</v>
      </c>
      <c r="Y31" s="9">
        <v>0.997089157</v>
      </c>
      <c r="AA31" s="11">
        <f t="shared" si="2"/>
        <v>-92213.660462844273</v>
      </c>
      <c r="AB31" s="11">
        <f t="shared" si="9"/>
        <v>4520.2198966145033</v>
      </c>
      <c r="AC31" s="5">
        <f t="shared" si="10"/>
        <v>852871.67860651005</v>
      </c>
      <c r="AD31" s="9">
        <v>0.96636764500000005</v>
      </c>
      <c r="AF31" s="11">
        <f t="shared" si="3"/>
        <v>-13344.781860527104</v>
      </c>
      <c r="AG31" s="11">
        <f>AG30*AI31</f>
        <v>6678.0905075503379</v>
      </c>
      <c r="AH31" s="5">
        <f t="shared" si="12"/>
        <v>1260017.0768962903</v>
      </c>
      <c r="AI31" s="9">
        <v>1.010410542</v>
      </c>
      <c r="AK31" s="11">
        <f t="shared" si="4"/>
        <v>120442.41588414052</v>
      </c>
      <c r="AL31" s="11">
        <f t="shared" si="13"/>
        <v>11098.37291129551</v>
      </c>
      <c r="AM31" s="5">
        <f t="shared" si="14"/>
        <v>2094032.6247727375</v>
      </c>
      <c r="AN31" s="9">
        <v>1.008329547</v>
      </c>
      <c r="AP31" s="11">
        <f t="shared" si="5"/>
        <v>-48146.424996807087</v>
      </c>
      <c r="AQ31" s="11">
        <f t="shared" si="15"/>
        <v>3386.4942367216468</v>
      </c>
      <c r="AR31" s="20">
        <f t="shared" si="16"/>
        <v>638961.17673993332</v>
      </c>
      <c r="AS31" s="9">
        <v>0.96188222599999995</v>
      </c>
      <c r="AU31" s="11">
        <f t="shared" si="6"/>
        <v>-71726.420508475974</v>
      </c>
      <c r="AV31" s="11">
        <f t="shared" si="17"/>
        <v>4144.1072492422318</v>
      </c>
      <c r="AW31" s="5">
        <f t="shared" si="18"/>
        <v>781907.02815891174</v>
      </c>
      <c r="AX31" s="9">
        <v>1.0553593429999999</v>
      </c>
      <c r="AZ31" s="11">
        <f t="shared" si="19"/>
        <v>6962.1172915155994</v>
      </c>
      <c r="BA31" s="9">
        <v>0.973790402</v>
      </c>
    </row>
    <row r="32" spans="16:53" x14ac:dyDescent="0.2">
      <c r="P32" s="9">
        <v>29</v>
      </c>
      <c r="Q32" s="11">
        <f t="shared" si="0"/>
        <v>-37016.26105672463</v>
      </c>
      <c r="R32" s="11">
        <f t="shared" si="20"/>
        <v>4694.1805910664452</v>
      </c>
      <c r="S32" s="5">
        <f t="shared" si="21"/>
        <v>885694.45114461216</v>
      </c>
      <c r="T32" s="9">
        <v>1.00775467</v>
      </c>
      <c r="V32" s="11">
        <f t="shared" si="1"/>
        <v>-84746.481800379072</v>
      </c>
      <c r="W32" s="11">
        <f t="shared" si="7"/>
        <v>5402.8169140539894</v>
      </c>
      <c r="X32" s="20">
        <f t="shared" si="8"/>
        <v>1019399.4177460361</v>
      </c>
      <c r="Y32" s="9">
        <v>1.35796896</v>
      </c>
      <c r="AA32" s="11">
        <f t="shared" si="2"/>
        <v>-88256.849448445777</v>
      </c>
      <c r="AB32" s="11">
        <f t="shared" si="9"/>
        <v>3956.81101439849</v>
      </c>
      <c r="AC32" s="5">
        <f t="shared" si="10"/>
        <v>746568.11592424335</v>
      </c>
      <c r="AD32" s="9">
        <v>0.87535808100000001</v>
      </c>
      <c r="AF32" s="11">
        <f t="shared" si="3"/>
        <v>-6639.9460746384539</v>
      </c>
      <c r="AG32" s="11">
        <f t="shared" si="11"/>
        <v>6704.8357858886502</v>
      </c>
      <c r="AH32" s="5">
        <f t="shared" si="12"/>
        <v>1265063.3558280475</v>
      </c>
      <c r="AI32" s="9">
        <v>1.0040049289999999</v>
      </c>
      <c r="AK32" s="11">
        <f t="shared" si="4"/>
        <v>131462.62862629033</v>
      </c>
      <c r="AL32" s="11">
        <f t="shared" si="13"/>
        <v>11020.212742149813</v>
      </c>
      <c r="AM32" s="5">
        <f t="shared" si="14"/>
        <v>2079285.4230471342</v>
      </c>
      <c r="AN32" s="9">
        <v>0.99295751099999996</v>
      </c>
      <c r="AP32" s="11">
        <f t="shared" si="5"/>
        <v>-44395.882599159413</v>
      </c>
      <c r="AQ32" s="11">
        <f t="shared" si="15"/>
        <v>3750.5423976476718</v>
      </c>
      <c r="AR32" s="20">
        <f t="shared" si="16"/>
        <v>707649.50899012678</v>
      </c>
      <c r="AS32" s="9">
        <v>1.107500009</v>
      </c>
      <c r="AU32" s="11">
        <f t="shared" si="6"/>
        <v>-67617.726193142313</v>
      </c>
      <c r="AV32" s="11">
        <f t="shared" si="17"/>
        <v>4108.6943153336679</v>
      </c>
      <c r="AW32" s="5">
        <f t="shared" si="18"/>
        <v>775225.34251578641</v>
      </c>
      <c r="AX32" s="9">
        <v>0.99145462900000003</v>
      </c>
      <c r="AZ32" s="11">
        <f t="shared" si="19"/>
        <v>6679.4125333450756</v>
      </c>
      <c r="BA32" s="9">
        <v>0.95939385300000002</v>
      </c>
    </row>
    <row r="33" spans="16:53" x14ac:dyDescent="0.2">
      <c r="P33" s="9">
        <v>30</v>
      </c>
      <c r="Q33" s="11">
        <f t="shared" si="0"/>
        <v>-32392.16349752709</v>
      </c>
      <c r="R33" s="11">
        <f t="shared" si="20"/>
        <v>4624.0975591975402</v>
      </c>
      <c r="S33" s="5">
        <f t="shared" si="21"/>
        <v>872471.23758444132</v>
      </c>
      <c r="T33" s="9">
        <v>0.98507023100000002</v>
      </c>
      <c r="V33" s="11">
        <f t="shared" si="1"/>
        <v>-79747.885364702161</v>
      </c>
      <c r="W33" s="11">
        <f t="shared" si="7"/>
        <v>4998.5964356769073</v>
      </c>
      <c r="X33" s="20">
        <f t="shared" si="8"/>
        <v>943131.4029579073</v>
      </c>
      <c r="Y33" s="9">
        <v>0.925183384</v>
      </c>
      <c r="AA33" s="11">
        <f t="shared" si="2"/>
        <v>-84469.402081002918</v>
      </c>
      <c r="AB33" s="11">
        <f t="shared" si="9"/>
        <v>3787.4473674428532</v>
      </c>
      <c r="AC33" s="5">
        <f t="shared" si="10"/>
        <v>714612.71083827422</v>
      </c>
      <c r="AD33" s="9">
        <v>0.95719693299999997</v>
      </c>
      <c r="AF33" s="11">
        <f t="shared" si="3"/>
        <v>21.685801125679973</v>
      </c>
      <c r="AG33" s="11">
        <f t="shared" si="11"/>
        <v>6661.6318757641338</v>
      </c>
      <c r="AH33" s="5">
        <f t="shared" si="12"/>
        <v>1256911.6746724783</v>
      </c>
      <c r="AI33" s="9">
        <v>0.993556306</v>
      </c>
      <c r="AK33" s="11">
        <f t="shared" si="4"/>
        <v>142120.37824007001</v>
      </c>
      <c r="AL33" s="11">
        <f t="shared" si="13"/>
        <v>10657.749613779673</v>
      </c>
      <c r="AM33" s="5">
        <f t="shared" si="14"/>
        <v>2010896.153543334</v>
      </c>
      <c r="AN33" s="9">
        <v>0.96710924399999998</v>
      </c>
      <c r="AP33" s="11">
        <f t="shared" si="5"/>
        <v>-40777.288176123999</v>
      </c>
      <c r="AQ33" s="11">
        <f t="shared" si="15"/>
        <v>3618.594423035418</v>
      </c>
      <c r="AR33" s="20">
        <f t="shared" si="16"/>
        <v>682753.66472366382</v>
      </c>
      <c r="AS33" s="9">
        <v>0.96481896200000006</v>
      </c>
      <c r="AU33" s="11">
        <f t="shared" si="6"/>
        <v>-63574.526474346581</v>
      </c>
      <c r="AV33" s="11">
        <f t="shared" si="17"/>
        <v>4043.199718795729</v>
      </c>
      <c r="AW33" s="5">
        <f t="shared" si="18"/>
        <v>762867.87147089234</v>
      </c>
      <c r="AX33" s="9">
        <v>0.984059511</v>
      </c>
      <c r="AZ33" s="11">
        <f t="shared" si="19"/>
        <v>6825.0783174106327</v>
      </c>
      <c r="BA33" s="9">
        <v>1.0218081729999999</v>
      </c>
    </row>
    <row r="34" spans="16:53" x14ac:dyDescent="0.2">
      <c r="P34" s="9">
        <v>31</v>
      </c>
      <c r="Q34" s="11">
        <f t="shared" si="0"/>
        <v>-27811.273727879376</v>
      </c>
      <c r="R34" s="11">
        <f t="shared" si="20"/>
        <v>4580.8897696477152</v>
      </c>
      <c r="S34" s="5">
        <f t="shared" si="21"/>
        <v>864318.82446183288</v>
      </c>
      <c r="T34" s="9">
        <v>0.99065595200000001</v>
      </c>
      <c r="V34" s="11">
        <f t="shared" si="1"/>
        <v>-75133.322500591035</v>
      </c>
      <c r="W34" s="11">
        <f t="shared" si="7"/>
        <v>4614.5628641111234</v>
      </c>
      <c r="X34" s="20">
        <f t="shared" si="8"/>
        <v>870672.23851153289</v>
      </c>
      <c r="Y34" s="9">
        <v>0.92317171899999995</v>
      </c>
      <c r="AA34" s="11">
        <f t="shared" si="2"/>
        <v>-80605.149288067638</v>
      </c>
      <c r="AB34" s="11">
        <f t="shared" si="9"/>
        <v>3864.2527929352796</v>
      </c>
      <c r="AC34" s="5">
        <f t="shared" si="10"/>
        <v>729104.30055382638</v>
      </c>
      <c r="AD34" s="9">
        <v>1.020278942</v>
      </c>
      <c r="AF34" s="11">
        <f t="shared" si="3"/>
        <v>6530.1609511230008</v>
      </c>
      <c r="AG34" s="11">
        <f t="shared" si="11"/>
        <v>6508.4751499973208</v>
      </c>
      <c r="AH34" s="5">
        <f t="shared" si="12"/>
        <v>1228014.1792447777</v>
      </c>
      <c r="AI34" s="9">
        <v>0.97700912799999995</v>
      </c>
      <c r="AK34" s="11">
        <f t="shared" si="4"/>
        <v>153001.12509671185</v>
      </c>
      <c r="AL34" s="11">
        <f t="shared" si="13"/>
        <v>10880.746856641848</v>
      </c>
      <c r="AM34" s="5">
        <f t="shared" si="14"/>
        <v>2052971.1050267634</v>
      </c>
      <c r="AN34" s="9">
        <v>1.020923483</v>
      </c>
      <c r="AP34" s="11">
        <f t="shared" si="5"/>
        <v>-37200.170871218994</v>
      </c>
      <c r="AQ34" s="11">
        <f t="shared" si="15"/>
        <v>3577.1173049050017</v>
      </c>
      <c r="AR34" s="20">
        <f t="shared" si="16"/>
        <v>674927.79337830225</v>
      </c>
      <c r="AS34" s="9">
        <v>0.98853778199999998</v>
      </c>
      <c r="AU34" s="11">
        <f t="shared" si="6"/>
        <v>-59554.501765815832</v>
      </c>
      <c r="AV34" s="11">
        <f t="shared" si="17"/>
        <v>4020.0247085307492</v>
      </c>
      <c r="AW34" s="5">
        <f t="shared" si="18"/>
        <v>758495.22802466981</v>
      </c>
      <c r="AX34" s="9">
        <v>0.99426815099999999</v>
      </c>
      <c r="AZ34" s="11">
        <f t="shared" si="19"/>
        <v>6572.2138341041373</v>
      </c>
      <c r="BA34" s="9">
        <v>0.96295068399999995</v>
      </c>
    </row>
    <row r="35" spans="16:53" x14ac:dyDescent="0.2">
      <c r="P35" s="9">
        <v>32</v>
      </c>
      <c r="Q35" s="11">
        <f t="shared" si="0"/>
        <v>-23303.491537030579</v>
      </c>
      <c r="R35" s="11">
        <f t="shared" si="20"/>
        <v>4507.7821908487958</v>
      </c>
      <c r="S35" s="5">
        <f t="shared" si="21"/>
        <v>850524.9416695839</v>
      </c>
      <c r="T35" s="9">
        <v>0.98404074699999999</v>
      </c>
      <c r="V35" s="11">
        <f t="shared" si="1"/>
        <v>-70702.742479371038</v>
      </c>
      <c r="W35" s="11">
        <f t="shared" si="7"/>
        <v>4430.5800212199956</v>
      </c>
      <c r="X35" s="20">
        <f t="shared" si="8"/>
        <v>835958.49456981057</v>
      </c>
      <c r="Y35" s="9">
        <v>0.96012995199999995</v>
      </c>
      <c r="AA35" s="11">
        <f t="shared" si="2"/>
        <v>-76877.570985532249</v>
      </c>
      <c r="AB35" s="11">
        <f t="shared" si="9"/>
        <v>3727.578302535394</v>
      </c>
      <c r="AC35" s="5">
        <f t="shared" si="10"/>
        <v>703316.66085573484</v>
      </c>
      <c r="AD35" s="9">
        <v>0.96463106899999995</v>
      </c>
      <c r="AF35" s="11">
        <f t="shared" si="3"/>
        <v>13026.749308479273</v>
      </c>
      <c r="AG35" s="11">
        <f t="shared" si="11"/>
        <v>6496.5883573562724</v>
      </c>
      <c r="AH35" s="5">
        <f t="shared" si="12"/>
        <v>1225771.3881804289</v>
      </c>
      <c r="AI35" s="9">
        <v>0.99817364399999997</v>
      </c>
      <c r="AK35" s="11">
        <f t="shared" si="4"/>
        <v>165077.79655833793</v>
      </c>
      <c r="AL35" s="11">
        <f t="shared" si="13"/>
        <v>12076.671461626078</v>
      </c>
      <c r="AM35" s="5">
        <f t="shared" si="14"/>
        <v>2278617.2569105802</v>
      </c>
      <c r="AN35" s="9">
        <v>1.1099119959999999</v>
      </c>
      <c r="AP35" s="11">
        <f t="shared" si="5"/>
        <v>-33533.245386121853</v>
      </c>
      <c r="AQ35" s="11">
        <f t="shared" si="15"/>
        <v>3666.9254850971383</v>
      </c>
      <c r="AR35" s="20">
        <f t="shared" si="16"/>
        <v>691872.73303719598</v>
      </c>
      <c r="AS35" s="9">
        <v>1.0251063</v>
      </c>
      <c r="AU35" s="11">
        <f t="shared" si="6"/>
        <v>-55629.696122316011</v>
      </c>
      <c r="AV35" s="11">
        <f t="shared" si="17"/>
        <v>3924.8056434998202</v>
      </c>
      <c r="AW35" s="5">
        <f t="shared" si="18"/>
        <v>740529.36669807939</v>
      </c>
      <c r="AX35" s="9">
        <v>0.97631381100000003</v>
      </c>
      <c r="AZ35" s="11">
        <f t="shared" si="19"/>
        <v>6826.7753991127065</v>
      </c>
      <c r="BA35" s="9">
        <v>1.038733001</v>
      </c>
    </row>
    <row r="36" spans="16:53" x14ac:dyDescent="0.2">
      <c r="P36" s="9">
        <v>33</v>
      </c>
      <c r="Q36" s="11">
        <f t="shared" ref="Q36:Q67" si="22">Q35+R36</f>
        <v>-18880.310198761788</v>
      </c>
      <c r="R36" s="11">
        <f t="shared" si="20"/>
        <v>4423.1813382687906</v>
      </c>
      <c r="S36" s="5">
        <f t="shared" si="21"/>
        <v>834562.51665448851</v>
      </c>
      <c r="T36" s="9">
        <v>0.98123226699999999</v>
      </c>
      <c r="V36" s="11">
        <f t="shared" ref="V36:V55" si="23">V35+W36</f>
        <v>-66439.298145421591</v>
      </c>
      <c r="W36" s="11">
        <f t="shared" si="7"/>
        <v>4263.4443339494492</v>
      </c>
      <c r="X36" s="20">
        <f t="shared" si="8"/>
        <v>804423.45923574525</v>
      </c>
      <c r="Y36" s="9">
        <v>0.96227679300000002</v>
      </c>
      <c r="AA36" s="11">
        <f t="shared" ref="AA36:AA55" si="24">AA35+AB36</f>
        <v>-73148.48503785934</v>
      </c>
      <c r="AB36" s="11">
        <f t="shared" si="9"/>
        <v>3729.0859476729024</v>
      </c>
      <c r="AC36" s="5">
        <f t="shared" si="10"/>
        <v>703601.12220243446</v>
      </c>
      <c r="AD36" s="9">
        <v>1.0004044569999999</v>
      </c>
      <c r="AF36" s="11">
        <f t="shared" ref="AF36:AF55" si="25">AF35+AG36</f>
        <v>19466.532523699781</v>
      </c>
      <c r="AG36" s="11">
        <f t="shared" si="11"/>
        <v>6439.7832152205092</v>
      </c>
      <c r="AH36" s="5">
        <f t="shared" si="12"/>
        <v>1215053.4368340585</v>
      </c>
      <c r="AI36" s="9">
        <v>0.991256158</v>
      </c>
      <c r="AK36" s="11">
        <f t="shared" ref="AK36:AK55" si="26">AK35+AL36</f>
        <v>176158.01853658058</v>
      </c>
      <c r="AL36" s="11">
        <f t="shared" si="13"/>
        <v>11080.221978242658</v>
      </c>
      <c r="AM36" s="5">
        <f t="shared" si="14"/>
        <v>2090607.9204231426</v>
      </c>
      <c r="AN36" s="9">
        <v>0.91748972500000003</v>
      </c>
      <c r="AP36" s="11">
        <f t="shared" ref="AP36:AP55" si="27">AP35+AQ36</f>
        <v>-30053.175195619428</v>
      </c>
      <c r="AQ36" s="11">
        <f t="shared" si="15"/>
        <v>3480.0701905024234</v>
      </c>
      <c r="AR36" s="20">
        <f t="shared" si="16"/>
        <v>656617.01707592898</v>
      </c>
      <c r="AS36" s="9">
        <v>0.94904306199999999</v>
      </c>
      <c r="AU36" s="11">
        <f t="shared" ref="AU36:AU55" si="28">AU35+AV36</f>
        <v>-51897.007960677387</v>
      </c>
      <c r="AV36" s="11">
        <f t="shared" si="17"/>
        <v>3732.6881616386268</v>
      </c>
      <c r="AW36" s="5">
        <f t="shared" si="18"/>
        <v>704280.78521483531</v>
      </c>
      <c r="AX36" s="9">
        <v>0.95105044699999997</v>
      </c>
      <c r="AZ36" s="11">
        <f t="shared" si="19"/>
        <v>6383.5554373929326</v>
      </c>
      <c r="BA36" s="9">
        <v>0.93507623500000003</v>
      </c>
    </row>
    <row r="37" spans="16:53" x14ac:dyDescent="0.2">
      <c r="P37" s="9">
        <v>34</v>
      </c>
      <c r="Q37" s="11">
        <f t="shared" si="22"/>
        <v>-14524.619424468487</v>
      </c>
      <c r="R37" s="11">
        <f t="shared" si="20"/>
        <v>4355.6907742933017</v>
      </c>
      <c r="S37" s="5">
        <f t="shared" si="21"/>
        <v>821828.44797986804</v>
      </c>
      <c r="T37" s="9">
        <v>0.98474162399999998</v>
      </c>
      <c r="V37" s="11">
        <f t="shared" si="23"/>
        <v>-61448.60576894167</v>
      </c>
      <c r="W37" s="11">
        <f t="shared" si="7"/>
        <v>4990.692376479924</v>
      </c>
      <c r="X37" s="20">
        <f t="shared" si="8"/>
        <v>941640.0710339481</v>
      </c>
      <c r="Y37" s="9">
        <v>1.1705775860000001</v>
      </c>
      <c r="AA37" s="11">
        <f t="shared" si="24"/>
        <v>-69540.038984612023</v>
      </c>
      <c r="AB37" s="11">
        <f t="shared" si="9"/>
        <v>3608.4460532473217</v>
      </c>
      <c r="AC37" s="5">
        <f t="shared" si="10"/>
        <v>680838.87797119282</v>
      </c>
      <c r="AD37" s="9">
        <v>0.96764893699999999</v>
      </c>
      <c r="AF37" s="11">
        <f t="shared" si="25"/>
        <v>25990.323348501381</v>
      </c>
      <c r="AG37" s="11">
        <f t="shared" si="11"/>
        <v>6523.7908248015983</v>
      </c>
      <c r="AH37" s="5">
        <f t="shared" si="12"/>
        <v>1230903.9292078491</v>
      </c>
      <c r="AI37" s="9">
        <v>1.0130450989999999</v>
      </c>
      <c r="AK37" s="11">
        <f t="shared" si="26"/>
        <v>187179.71299841843</v>
      </c>
      <c r="AL37" s="11">
        <f t="shared" si="13"/>
        <v>11021.694461837842</v>
      </c>
      <c r="AM37" s="5">
        <f t="shared" si="14"/>
        <v>2079564.9927995924</v>
      </c>
      <c r="AN37" s="9">
        <v>0.99471783899999999</v>
      </c>
      <c r="AP37" s="11">
        <f t="shared" si="27"/>
        <v>-26542.735577507581</v>
      </c>
      <c r="AQ37" s="11">
        <f t="shared" si="15"/>
        <v>3510.4396181118454</v>
      </c>
      <c r="AR37" s="20">
        <f t="shared" si="16"/>
        <v>662347.09775695205</v>
      </c>
      <c r="AS37" s="9">
        <v>1.008726671</v>
      </c>
      <c r="AU37" s="11">
        <f t="shared" si="28"/>
        <v>-48339.475858814403</v>
      </c>
      <c r="AV37" s="11">
        <f t="shared" si="17"/>
        <v>3557.5321018629807</v>
      </c>
      <c r="AW37" s="5">
        <f t="shared" si="18"/>
        <v>671232.47204961907</v>
      </c>
      <c r="AX37" s="9">
        <v>0.95307508900000004</v>
      </c>
      <c r="AZ37" s="11">
        <f t="shared" si="19"/>
        <v>6579.4264160797129</v>
      </c>
      <c r="BA37" s="9">
        <v>1.030683681</v>
      </c>
    </row>
    <row r="38" spans="16:53" x14ac:dyDescent="0.2">
      <c r="P38" s="9">
        <v>35</v>
      </c>
      <c r="Q38" s="11">
        <f t="shared" si="22"/>
        <v>-10280.577575243897</v>
      </c>
      <c r="R38" s="11">
        <f t="shared" si="20"/>
        <v>4244.0418492245899</v>
      </c>
      <c r="S38" s="5">
        <f t="shared" si="21"/>
        <v>800762.61306124309</v>
      </c>
      <c r="T38" s="9">
        <v>0.97436711399999998</v>
      </c>
      <c r="V38" s="11">
        <f t="shared" si="23"/>
        <v>-56984.850945800164</v>
      </c>
      <c r="W38" s="11">
        <f t="shared" si="7"/>
        <v>4463.7548231415094</v>
      </c>
      <c r="X38" s="20">
        <f t="shared" si="8"/>
        <v>842217.89115877554</v>
      </c>
      <c r="Y38" s="9">
        <v>0.89441594199999996</v>
      </c>
      <c r="AA38" s="11">
        <f t="shared" si="24"/>
        <v>-66032.069815824798</v>
      </c>
      <c r="AB38" s="11">
        <f t="shared" si="9"/>
        <v>3507.9691687872264</v>
      </c>
      <c r="AC38" s="5">
        <f t="shared" si="10"/>
        <v>661880.97524287296</v>
      </c>
      <c r="AD38" s="9">
        <v>0.972155082</v>
      </c>
      <c r="AF38" s="11">
        <f t="shared" si="25"/>
        <v>32350.442210289715</v>
      </c>
      <c r="AG38" s="11">
        <f t="shared" si="11"/>
        <v>6360.1188617883345</v>
      </c>
      <c r="AH38" s="5">
        <f t="shared" si="12"/>
        <v>1200022.4267525163</v>
      </c>
      <c r="AI38" s="9">
        <v>0.974911525</v>
      </c>
      <c r="AK38" s="11">
        <f t="shared" si="26"/>
        <v>198176.58883071051</v>
      </c>
      <c r="AL38" s="11">
        <f t="shared" si="13"/>
        <v>10996.875832292064</v>
      </c>
      <c r="AM38" s="5">
        <f t="shared" si="14"/>
        <v>2074882.2325079364</v>
      </c>
      <c r="AN38" s="9">
        <v>0.99774820200000003</v>
      </c>
      <c r="AP38" s="11">
        <f t="shared" si="27"/>
        <v>-23092.580412486685</v>
      </c>
      <c r="AQ38" s="11">
        <f t="shared" si="15"/>
        <v>3450.1551650208953</v>
      </c>
      <c r="AR38" s="20">
        <f t="shared" si="16"/>
        <v>650972.67264545208</v>
      </c>
      <c r="AS38" s="9">
        <v>0.98282709300000004</v>
      </c>
      <c r="AU38" s="11">
        <f t="shared" si="28"/>
        <v>-44814.187249934861</v>
      </c>
      <c r="AV38" s="11">
        <f t="shared" si="17"/>
        <v>3525.2886088795431</v>
      </c>
      <c r="AW38" s="5">
        <f t="shared" si="18"/>
        <v>665148.79412821576</v>
      </c>
      <c r="AX38" s="9">
        <v>0.99093655599999997</v>
      </c>
      <c r="AZ38" s="11">
        <f t="shared" si="19"/>
        <v>6341.2699311829128</v>
      </c>
      <c r="BA38" s="9">
        <v>0.96380284999999999</v>
      </c>
    </row>
    <row r="39" spans="16:53" x14ac:dyDescent="0.2">
      <c r="P39" s="9">
        <v>36</v>
      </c>
      <c r="Q39" s="11">
        <f t="shared" si="22"/>
        <v>-6034.9802464851891</v>
      </c>
      <c r="R39" s="11">
        <f t="shared" si="20"/>
        <v>4245.5973287587076</v>
      </c>
      <c r="S39" s="5">
        <f t="shared" si="21"/>
        <v>801056.09976579354</v>
      </c>
      <c r="T39" s="9">
        <v>1.000366509</v>
      </c>
      <c r="V39" s="11">
        <f t="shared" si="23"/>
        <v>-52822.712210144768</v>
      </c>
      <c r="W39" s="11">
        <f t="shared" si="7"/>
        <v>4162.1387356553996</v>
      </c>
      <c r="X39" s="20">
        <f t="shared" si="8"/>
        <v>785309.1954066793</v>
      </c>
      <c r="Y39" s="9">
        <v>0.93242996099999997</v>
      </c>
      <c r="AA39" s="11">
        <f t="shared" si="24"/>
        <v>-62752.854288699222</v>
      </c>
      <c r="AB39" s="11">
        <f t="shared" si="9"/>
        <v>3279.2155271255779</v>
      </c>
      <c r="AC39" s="5">
        <f t="shared" si="10"/>
        <v>618719.91077841097</v>
      </c>
      <c r="AD39" s="9">
        <v>0.93479029300000005</v>
      </c>
      <c r="AF39" s="11">
        <f t="shared" si="25"/>
        <v>38683.358608381779</v>
      </c>
      <c r="AG39" s="11">
        <f t="shared" si="11"/>
        <v>6332.9163980920675</v>
      </c>
      <c r="AH39" s="5">
        <f t="shared" si="12"/>
        <v>1194889.8864324659</v>
      </c>
      <c r="AI39" s="9">
        <v>0.99572296299999996</v>
      </c>
      <c r="AK39" s="11">
        <f t="shared" si="26"/>
        <v>209073.63449634699</v>
      </c>
      <c r="AL39" s="11">
        <f t="shared" si="13"/>
        <v>10897.045665636477</v>
      </c>
      <c r="AM39" s="5">
        <f t="shared" si="14"/>
        <v>2056046.3520068822</v>
      </c>
      <c r="AN39" s="9">
        <v>0.99092195199999999</v>
      </c>
      <c r="AP39" s="11">
        <f t="shared" si="27"/>
        <v>-20013.825939447495</v>
      </c>
      <c r="AQ39" s="11">
        <f t="shared" si="15"/>
        <v>3078.7544730391883</v>
      </c>
      <c r="AR39" s="20">
        <f t="shared" si="16"/>
        <v>580897.07038475259</v>
      </c>
      <c r="AS39" s="9">
        <v>0.89235246700000004</v>
      </c>
      <c r="AU39" s="11">
        <f t="shared" si="28"/>
        <v>-41314.760609527002</v>
      </c>
      <c r="AV39" s="11">
        <f t="shared" si="17"/>
        <v>3499.4266404078608</v>
      </c>
      <c r="AW39" s="5">
        <f t="shared" si="18"/>
        <v>660269.17743544548</v>
      </c>
      <c r="AX39" s="9">
        <v>0.99266387199999995</v>
      </c>
      <c r="AZ39" s="11">
        <f t="shared" si="19"/>
        <v>6343.6741222170012</v>
      </c>
      <c r="BA39" s="9">
        <v>1.0003791339999999</v>
      </c>
    </row>
    <row r="40" spans="16:53" x14ac:dyDescent="0.2">
      <c r="P40" s="9">
        <v>37</v>
      </c>
      <c r="Q40" s="11">
        <f t="shared" si="22"/>
        <v>-1926.6972701695549</v>
      </c>
      <c r="R40" s="11">
        <f t="shared" si="20"/>
        <v>4108.2829763156342</v>
      </c>
      <c r="S40" s="5">
        <f t="shared" si="21"/>
        <v>775147.73138030805</v>
      </c>
      <c r="T40" s="9">
        <v>0.96765723599999998</v>
      </c>
      <c r="V40" s="11">
        <f t="shared" si="23"/>
        <v>-48479.076884525435</v>
      </c>
      <c r="W40" s="11">
        <f t="shared" si="7"/>
        <v>4343.6353256193297</v>
      </c>
      <c r="X40" s="20">
        <f t="shared" si="8"/>
        <v>819553.83502251515</v>
      </c>
      <c r="Y40" s="9">
        <v>1.043606569</v>
      </c>
      <c r="AA40" s="11">
        <f t="shared" si="24"/>
        <v>-59453.602564508408</v>
      </c>
      <c r="AB40" s="11">
        <f t="shared" si="9"/>
        <v>3299.2517241908158</v>
      </c>
      <c r="AC40" s="5">
        <f t="shared" si="10"/>
        <v>622500.32531902182</v>
      </c>
      <c r="AD40" s="9">
        <v>1.006110058</v>
      </c>
      <c r="AF40" s="11">
        <f t="shared" si="25"/>
        <v>44723.67708134689</v>
      </c>
      <c r="AG40" s="11">
        <f t="shared" si="11"/>
        <v>6040.3184729651093</v>
      </c>
      <c r="AH40" s="5">
        <f t="shared" si="12"/>
        <v>1139682.7307481342</v>
      </c>
      <c r="AI40" s="9">
        <v>0.95379728600000002</v>
      </c>
      <c r="AK40" s="11">
        <f t="shared" si="26"/>
        <v>219422.26251791848</v>
      </c>
      <c r="AL40" s="11">
        <f t="shared" si="13"/>
        <v>10348.628021571496</v>
      </c>
      <c r="AM40" s="5">
        <f t="shared" si="14"/>
        <v>1952571.3248248105</v>
      </c>
      <c r="AN40" s="9">
        <v>0.94967281400000003</v>
      </c>
      <c r="AP40" s="11">
        <f t="shared" si="27"/>
        <v>-16854.521794538614</v>
      </c>
      <c r="AQ40" s="11">
        <f t="shared" si="15"/>
        <v>3159.3041449088801</v>
      </c>
      <c r="AR40" s="20">
        <f t="shared" si="16"/>
        <v>596095.12168092094</v>
      </c>
      <c r="AS40" s="9">
        <v>1.026163071</v>
      </c>
      <c r="AU40" s="11">
        <f t="shared" si="28"/>
        <v>-37775.197536727421</v>
      </c>
      <c r="AV40" s="11">
        <f t="shared" si="17"/>
        <v>3539.5630727995808</v>
      </c>
      <c r="AW40" s="5">
        <f t="shared" si="18"/>
        <v>667842.08920746809</v>
      </c>
      <c r="AX40" s="9">
        <v>1.0114694310000001</v>
      </c>
      <c r="AZ40" s="11">
        <f t="shared" si="19"/>
        <v>6181.8861104538828</v>
      </c>
      <c r="BA40" s="9">
        <v>0.974496166</v>
      </c>
    </row>
    <row r="41" spans="16:53" x14ac:dyDescent="0.2">
      <c r="P41" s="9">
        <v>38</v>
      </c>
      <c r="Q41" s="11">
        <f t="shared" si="22"/>
        <v>2140.5028763829228</v>
      </c>
      <c r="R41" s="11">
        <f t="shared" si="20"/>
        <v>4067.2001465524777</v>
      </c>
      <c r="S41" s="5">
        <f t="shared" si="21"/>
        <v>767396.254066505</v>
      </c>
      <c r="T41" s="9">
        <v>0.99</v>
      </c>
      <c r="V41" s="11">
        <f t="shared" si="23"/>
        <v>-44178.877912162301</v>
      </c>
      <c r="W41" s="11">
        <f t="shared" si="7"/>
        <v>4300.1989723631368</v>
      </c>
      <c r="X41" s="20">
        <f t="shared" si="8"/>
        <v>811358.29667228996</v>
      </c>
      <c r="Y41" s="9">
        <v>0.99</v>
      </c>
      <c r="AA41" s="11">
        <f t="shared" si="24"/>
        <v>-56187.343357559497</v>
      </c>
      <c r="AB41" s="11">
        <f t="shared" si="9"/>
        <v>3266.2592069489078</v>
      </c>
      <c r="AC41" s="5">
        <f t="shared" si="10"/>
        <v>616275.32206583163</v>
      </c>
      <c r="AD41" s="9">
        <v>0.99</v>
      </c>
      <c r="AF41" s="11">
        <f t="shared" si="25"/>
        <v>50703.592369582351</v>
      </c>
      <c r="AG41" s="11">
        <f t="shared" si="11"/>
        <v>5979.9152882354583</v>
      </c>
      <c r="AH41" s="5">
        <f t="shared" si="12"/>
        <v>1128285.9034406529</v>
      </c>
      <c r="AI41" s="9">
        <v>0.99</v>
      </c>
      <c r="AK41" s="11">
        <f t="shared" si="26"/>
        <v>229667.40425927428</v>
      </c>
      <c r="AL41" s="11">
        <f t="shared" si="13"/>
        <v>10245.141741355781</v>
      </c>
      <c r="AM41" s="5">
        <f t="shared" si="14"/>
        <v>1933045.6115765623</v>
      </c>
      <c r="AN41" s="9">
        <v>0.99</v>
      </c>
      <c r="AP41" s="11">
        <f t="shared" si="27"/>
        <v>-13726.810691078823</v>
      </c>
      <c r="AQ41" s="11">
        <f t="shared" si="15"/>
        <v>3127.711103459791</v>
      </c>
      <c r="AR41" s="20">
        <f t="shared" si="16"/>
        <v>590134.17046411172</v>
      </c>
      <c r="AS41" s="9">
        <v>0.99</v>
      </c>
      <c r="AU41" s="11">
        <f t="shared" si="28"/>
        <v>-34271.030094655835</v>
      </c>
      <c r="AV41" s="11">
        <f t="shared" si="17"/>
        <v>3504.1674420715849</v>
      </c>
      <c r="AW41" s="5">
        <f t="shared" si="18"/>
        <v>661163.66831539338</v>
      </c>
      <c r="AX41" s="9">
        <v>0.99</v>
      </c>
      <c r="AZ41" s="11">
        <f t="shared" si="19"/>
        <v>6120.0672493493439</v>
      </c>
      <c r="BA41" s="9">
        <v>0.99</v>
      </c>
    </row>
    <row r="42" spans="16:53" x14ac:dyDescent="0.2">
      <c r="P42" s="9">
        <v>39</v>
      </c>
      <c r="Q42" s="11">
        <f t="shared" si="22"/>
        <v>6167.0310214698757</v>
      </c>
      <c r="R42" s="11">
        <f t="shared" si="20"/>
        <v>4026.5281450869529</v>
      </c>
      <c r="S42" s="5">
        <f t="shared" si="21"/>
        <v>759722.29152583994</v>
      </c>
      <c r="T42" s="9">
        <v>0.99</v>
      </c>
      <c r="V42" s="11">
        <f t="shared" si="23"/>
        <v>-39921.680929522794</v>
      </c>
      <c r="W42" s="11">
        <f t="shared" si="7"/>
        <v>4257.1969826395052</v>
      </c>
      <c r="X42" s="20">
        <f t="shared" si="8"/>
        <v>803244.71370556706</v>
      </c>
      <c r="Y42" s="9">
        <v>0.99</v>
      </c>
      <c r="AA42" s="11">
        <f t="shared" si="24"/>
        <v>-52953.746742680079</v>
      </c>
      <c r="AB42" s="11">
        <f t="shared" si="9"/>
        <v>3233.5966148794187</v>
      </c>
      <c r="AC42" s="5">
        <f t="shared" si="10"/>
        <v>610112.56884517334</v>
      </c>
      <c r="AD42" s="9">
        <v>0.99</v>
      </c>
      <c r="AF42" s="11">
        <f t="shared" si="25"/>
        <v>56623.708504935457</v>
      </c>
      <c r="AG42" s="11">
        <f t="shared" si="11"/>
        <v>5920.1161353531033</v>
      </c>
      <c r="AH42" s="5">
        <f t="shared" si="12"/>
        <v>1117003.0444062464</v>
      </c>
      <c r="AI42" s="9">
        <v>0.99</v>
      </c>
      <c r="AK42" s="11">
        <f t="shared" si="26"/>
        <v>239810.0945832165</v>
      </c>
      <c r="AL42" s="11">
        <f t="shared" si="13"/>
        <v>10142.690323942223</v>
      </c>
      <c r="AM42" s="5">
        <f t="shared" si="14"/>
        <v>1913715.1554607966</v>
      </c>
      <c r="AN42" s="9">
        <v>0.99</v>
      </c>
      <c r="AP42" s="11">
        <f t="shared" si="27"/>
        <v>-10630.37669865363</v>
      </c>
      <c r="AQ42" s="11">
        <f t="shared" si="15"/>
        <v>3096.4339924251931</v>
      </c>
      <c r="AR42" s="20">
        <f t="shared" si="16"/>
        <v>584232.82875947061</v>
      </c>
      <c r="AS42" s="9">
        <v>0.99</v>
      </c>
      <c r="AU42" s="11">
        <f t="shared" si="28"/>
        <v>-30801.904327004966</v>
      </c>
      <c r="AV42" s="11">
        <f t="shared" si="17"/>
        <v>3469.125767650869</v>
      </c>
      <c r="AW42" s="5">
        <f t="shared" si="18"/>
        <v>654552.03163223946</v>
      </c>
      <c r="AX42" s="9">
        <v>0.99</v>
      </c>
      <c r="AZ42" s="11">
        <f t="shared" si="19"/>
        <v>6058.8665768558503</v>
      </c>
      <c r="BA42" s="9">
        <v>0.99</v>
      </c>
    </row>
    <row r="43" spans="16:53" x14ac:dyDescent="0.2">
      <c r="P43" s="9">
        <v>40</v>
      </c>
      <c r="Q43" s="11">
        <f t="shared" si="22"/>
        <v>10153.293885105959</v>
      </c>
      <c r="R43" s="11">
        <f t="shared" si="20"/>
        <v>3986.2628636360832</v>
      </c>
      <c r="S43" s="5">
        <f t="shared" si="21"/>
        <v>752125.06861058157</v>
      </c>
      <c r="T43" s="9">
        <v>0.99</v>
      </c>
      <c r="V43" s="11">
        <f t="shared" si="23"/>
        <v>-35707.05591670968</v>
      </c>
      <c r="W43" s="11">
        <f t="shared" si="7"/>
        <v>4214.6250128131105</v>
      </c>
      <c r="X43" s="20">
        <f t="shared" si="8"/>
        <v>795212.26656851138</v>
      </c>
      <c r="Y43" s="9">
        <v>0.99</v>
      </c>
      <c r="AA43" s="11">
        <f t="shared" si="24"/>
        <v>-49752.486093949454</v>
      </c>
      <c r="AB43" s="11">
        <f t="shared" si="9"/>
        <v>3201.2606487306243</v>
      </c>
      <c r="AC43" s="5">
        <f t="shared" si="10"/>
        <v>604011.44315672165</v>
      </c>
      <c r="AD43" s="9">
        <v>0.99</v>
      </c>
      <c r="AF43" s="11">
        <f t="shared" si="25"/>
        <v>62484.623478935027</v>
      </c>
      <c r="AG43" s="11">
        <f t="shared" si="11"/>
        <v>5860.9149739995719</v>
      </c>
      <c r="AH43" s="5">
        <f t="shared" si="12"/>
        <v>1105833.0139621838</v>
      </c>
      <c r="AI43" s="9">
        <v>0.99</v>
      </c>
      <c r="AK43" s="11">
        <f t="shared" si="26"/>
        <v>249851.3580039193</v>
      </c>
      <c r="AL43" s="11">
        <f t="shared" si="13"/>
        <v>10041.2634207028</v>
      </c>
      <c r="AM43" s="5">
        <f t="shared" si="14"/>
        <v>1894578.0039061885</v>
      </c>
      <c r="AN43" s="9">
        <v>0.99</v>
      </c>
      <c r="AP43" s="11">
        <f t="shared" si="27"/>
        <v>-7564.907046152689</v>
      </c>
      <c r="AQ43" s="11">
        <f t="shared" si="15"/>
        <v>3065.4696525009413</v>
      </c>
      <c r="AR43" s="20">
        <f t="shared" si="16"/>
        <v>578390.50047187589</v>
      </c>
      <c r="AS43" s="9">
        <v>0.99</v>
      </c>
      <c r="AU43" s="11">
        <f t="shared" si="28"/>
        <v>-27367.469817030607</v>
      </c>
      <c r="AV43" s="11">
        <f t="shared" si="17"/>
        <v>3434.43450997436</v>
      </c>
      <c r="AW43" s="5">
        <f t="shared" si="18"/>
        <v>648006.51131591701</v>
      </c>
      <c r="AX43" s="9">
        <v>0.99</v>
      </c>
      <c r="AZ43" s="11">
        <f t="shared" si="19"/>
        <v>5998.2779110872916</v>
      </c>
      <c r="BA43" s="9">
        <v>0.99</v>
      </c>
    </row>
    <row r="44" spans="16:53" x14ac:dyDescent="0.2">
      <c r="P44" s="9">
        <v>41</v>
      </c>
      <c r="Q44" s="11">
        <f t="shared" si="22"/>
        <v>14099.694120105682</v>
      </c>
      <c r="R44" s="11">
        <f t="shared" si="20"/>
        <v>3946.4002349997222</v>
      </c>
      <c r="S44" s="5">
        <f t="shared" si="21"/>
        <v>744603.81792447576</v>
      </c>
      <c r="T44" s="9">
        <v>0.99</v>
      </c>
      <c r="V44" s="11">
        <f t="shared" si="23"/>
        <v>-31534.577154024701</v>
      </c>
      <c r="W44" s="11">
        <f t="shared" si="7"/>
        <v>4172.4787626849793</v>
      </c>
      <c r="X44" s="20">
        <f t="shared" si="8"/>
        <v>787260.14390282624</v>
      </c>
      <c r="Y44" s="9">
        <v>0.99</v>
      </c>
      <c r="AA44" s="11">
        <f t="shared" si="24"/>
        <v>-46583.238051706139</v>
      </c>
      <c r="AB44" s="11">
        <f t="shared" si="9"/>
        <v>3169.2480422433182</v>
      </c>
      <c r="AC44" s="5">
        <f t="shared" si="10"/>
        <v>597971.3287251544</v>
      </c>
      <c r="AD44" s="9">
        <v>0.99</v>
      </c>
      <c r="AF44" s="11">
        <f t="shared" si="25"/>
        <v>68286.9293031946</v>
      </c>
      <c r="AG44" s="11">
        <f t="shared" si="11"/>
        <v>5802.3058242595762</v>
      </c>
      <c r="AH44" s="5">
        <f t="shared" si="12"/>
        <v>1094774.683822562</v>
      </c>
      <c r="AI44" s="9">
        <v>0.99</v>
      </c>
      <c r="AK44" s="11">
        <f t="shared" si="26"/>
        <v>259792.20879041508</v>
      </c>
      <c r="AL44" s="11">
        <f t="shared" si="13"/>
        <v>9940.8507864957719</v>
      </c>
      <c r="AM44" s="5">
        <f t="shared" si="14"/>
        <v>1875632.2238671267</v>
      </c>
      <c r="AN44" s="9">
        <v>0.99</v>
      </c>
      <c r="AP44" s="11">
        <f t="shared" si="27"/>
        <v>-4530.0920901767568</v>
      </c>
      <c r="AQ44" s="11">
        <f t="shared" si="15"/>
        <v>3034.8149559759318</v>
      </c>
      <c r="AR44" s="20">
        <f t="shared" si="16"/>
        <v>572606.59546715708</v>
      </c>
      <c r="AS44" s="9">
        <v>0.99</v>
      </c>
      <c r="AU44" s="11">
        <f t="shared" si="28"/>
        <v>-23967.379652155993</v>
      </c>
      <c r="AV44" s="11">
        <f t="shared" si="17"/>
        <v>3400.0901648746162</v>
      </c>
      <c r="AW44" s="5">
        <f t="shared" si="18"/>
        <v>641526.44620275788</v>
      </c>
      <c r="AX44" s="9">
        <v>0.99</v>
      </c>
      <c r="AZ44" s="11">
        <f t="shared" si="19"/>
        <v>5938.2951319764188</v>
      </c>
      <c r="BA44" s="9">
        <v>0.99</v>
      </c>
    </row>
    <row r="45" spans="16:53" x14ac:dyDescent="0.2">
      <c r="P45" s="9">
        <v>42</v>
      </c>
      <c r="Q45" s="11">
        <f t="shared" si="22"/>
        <v>18006.630352755405</v>
      </c>
      <c r="R45" s="11">
        <f t="shared" si="20"/>
        <v>3906.9362326497248</v>
      </c>
      <c r="S45" s="5">
        <f t="shared" si="21"/>
        <v>737157.77974523103</v>
      </c>
      <c r="T45" s="9">
        <v>0.99</v>
      </c>
      <c r="V45" s="11">
        <f t="shared" si="23"/>
        <v>-27403.823178966573</v>
      </c>
      <c r="W45" s="11">
        <f t="shared" si="7"/>
        <v>4130.7539750581291</v>
      </c>
      <c r="X45" s="20">
        <f t="shared" si="8"/>
        <v>779387.54246379796</v>
      </c>
      <c r="Y45" s="9">
        <v>0.99</v>
      </c>
      <c r="AA45" s="11">
        <f t="shared" si="24"/>
        <v>-43445.682489885257</v>
      </c>
      <c r="AB45" s="11">
        <f t="shared" si="9"/>
        <v>3137.555561820885</v>
      </c>
      <c r="AC45" s="5">
        <f t="shared" si="10"/>
        <v>591991.61543790286</v>
      </c>
      <c r="AD45" s="9">
        <v>0.99</v>
      </c>
      <c r="AF45" s="11">
        <f t="shared" si="25"/>
        <v>74031.212069211586</v>
      </c>
      <c r="AG45" s="11">
        <f t="shared" si="11"/>
        <v>5744.2827660169805</v>
      </c>
      <c r="AH45" s="5">
        <f t="shared" si="12"/>
        <v>1083826.9369843365</v>
      </c>
      <c r="AI45" s="9">
        <v>0.99</v>
      </c>
      <c r="AK45" s="11">
        <f t="shared" si="26"/>
        <v>269633.65106904588</v>
      </c>
      <c r="AL45" s="11">
        <f t="shared" si="13"/>
        <v>9841.4422786308132</v>
      </c>
      <c r="AM45" s="5">
        <f t="shared" si="14"/>
        <v>1856875.9016284554</v>
      </c>
      <c r="AN45" s="9">
        <v>0.99</v>
      </c>
      <c r="AP45" s="11">
        <f t="shared" si="27"/>
        <v>-1525.6252837605844</v>
      </c>
      <c r="AQ45" s="11">
        <f t="shared" si="15"/>
        <v>3004.4668064161724</v>
      </c>
      <c r="AR45" s="20">
        <f t="shared" si="16"/>
        <v>566880.52951248549</v>
      </c>
      <c r="AS45" s="9">
        <v>0.99</v>
      </c>
      <c r="AU45" s="11">
        <f t="shared" si="28"/>
        <v>-20601.290388930123</v>
      </c>
      <c r="AV45" s="11">
        <f t="shared" si="17"/>
        <v>3366.0892632258701</v>
      </c>
      <c r="AW45" s="5">
        <f t="shared" si="18"/>
        <v>635111.1817407303</v>
      </c>
      <c r="AX45" s="9">
        <v>0.99</v>
      </c>
      <c r="AZ45" s="11">
        <f t="shared" si="19"/>
        <v>5878.9121806566545</v>
      </c>
      <c r="BA45" s="9">
        <v>0.99</v>
      </c>
    </row>
    <row r="46" spans="16:53" x14ac:dyDescent="0.2">
      <c r="P46" s="9">
        <v>43</v>
      </c>
      <c r="Q46" s="11">
        <f t="shared" si="22"/>
        <v>21874.497223078633</v>
      </c>
      <c r="R46" s="11">
        <f t="shared" si="20"/>
        <v>3867.8668703232274</v>
      </c>
      <c r="S46" s="5">
        <f t="shared" si="21"/>
        <v>729786.2019477787</v>
      </c>
      <c r="T46" s="9">
        <v>0.99</v>
      </c>
      <c r="V46" s="11">
        <f t="shared" si="23"/>
        <v>-23314.376743659024</v>
      </c>
      <c r="W46" s="11">
        <f t="shared" si="7"/>
        <v>4089.4464353075477</v>
      </c>
      <c r="X46" s="20">
        <f t="shared" si="8"/>
        <v>771593.66703915992</v>
      </c>
      <c r="Y46" s="9">
        <v>0.99</v>
      </c>
      <c r="AA46" s="11">
        <f t="shared" si="24"/>
        <v>-40339.502483682583</v>
      </c>
      <c r="AB46" s="11">
        <f t="shared" si="9"/>
        <v>3106.1800062026759</v>
      </c>
      <c r="AC46" s="5">
        <f t="shared" si="10"/>
        <v>586071.69928352383</v>
      </c>
      <c r="AD46" s="9">
        <v>0.99</v>
      </c>
      <c r="AF46" s="11">
        <f t="shared" si="25"/>
        <v>79718.052007568389</v>
      </c>
      <c r="AG46" s="11">
        <f t="shared" si="11"/>
        <v>5686.8399383568103</v>
      </c>
      <c r="AH46" s="5">
        <f t="shared" si="12"/>
        <v>1072988.6676144931</v>
      </c>
      <c r="AI46" s="9">
        <v>0.99</v>
      </c>
      <c r="AK46" s="11">
        <f t="shared" si="26"/>
        <v>279376.67892489041</v>
      </c>
      <c r="AL46" s="11">
        <f t="shared" si="13"/>
        <v>9743.0278558445043</v>
      </c>
      <c r="AM46" s="5">
        <f t="shared" si="14"/>
        <v>1838307.1426121709</v>
      </c>
      <c r="AN46" s="9">
        <v>0.99</v>
      </c>
      <c r="AP46" s="11">
        <f t="shared" si="27"/>
        <v>1448.7968545914264</v>
      </c>
      <c r="AQ46" s="11">
        <f t="shared" si="15"/>
        <v>2974.4221383520107</v>
      </c>
      <c r="AR46" s="20">
        <f t="shared" si="16"/>
        <v>561211.72421736061</v>
      </c>
      <c r="AS46" s="9">
        <v>0.99</v>
      </c>
      <c r="AU46" s="11">
        <f t="shared" si="28"/>
        <v>-17268.862018336513</v>
      </c>
      <c r="AV46" s="11">
        <f t="shared" si="17"/>
        <v>3332.4283705936114</v>
      </c>
      <c r="AW46" s="5">
        <f t="shared" si="18"/>
        <v>628760.069923323</v>
      </c>
      <c r="AX46" s="9">
        <v>0.99</v>
      </c>
      <c r="AZ46" s="11">
        <f t="shared" si="19"/>
        <v>5820.1230588500875</v>
      </c>
      <c r="BA46" s="9">
        <v>0.99</v>
      </c>
    </row>
    <row r="47" spans="16:53" x14ac:dyDescent="0.2">
      <c r="P47" s="9">
        <v>44</v>
      </c>
      <c r="Q47" s="11">
        <f t="shared" si="22"/>
        <v>25703.68542469863</v>
      </c>
      <c r="R47" s="11">
        <f t="shared" si="20"/>
        <v>3829.1882016199952</v>
      </c>
      <c r="S47" s="5">
        <f t="shared" si="21"/>
        <v>722488.33992830093</v>
      </c>
      <c r="T47" s="9">
        <v>0.99</v>
      </c>
      <c r="V47" s="11">
        <f t="shared" si="23"/>
        <v>-19265.824772704553</v>
      </c>
      <c r="W47" s="11">
        <f t="shared" si="7"/>
        <v>4048.5519709544724</v>
      </c>
      <c r="X47" s="20">
        <f t="shared" si="8"/>
        <v>763877.73036876833</v>
      </c>
      <c r="Y47" s="9">
        <v>0.99</v>
      </c>
      <c r="AA47" s="11">
        <f t="shared" si="24"/>
        <v>-37264.384277541933</v>
      </c>
      <c r="AB47" s="11">
        <f t="shared" si="9"/>
        <v>3075.1182061406494</v>
      </c>
      <c r="AC47" s="5">
        <f t="shared" si="10"/>
        <v>580210.98229068855</v>
      </c>
      <c r="AD47" s="9">
        <v>0.99</v>
      </c>
      <c r="AF47" s="11">
        <f t="shared" si="25"/>
        <v>85348.023546541634</v>
      </c>
      <c r="AG47" s="11">
        <f t="shared" si="11"/>
        <v>5629.9715389732419</v>
      </c>
      <c r="AH47" s="5">
        <f t="shared" si="12"/>
        <v>1062258.780938348</v>
      </c>
      <c r="AI47" s="9">
        <v>0.99</v>
      </c>
      <c r="AK47" s="11">
        <f t="shared" si="26"/>
        <v>289022.27650217648</v>
      </c>
      <c r="AL47" s="11">
        <f t="shared" si="13"/>
        <v>9645.5975772860584</v>
      </c>
      <c r="AM47" s="5">
        <f t="shared" si="14"/>
        <v>1819924.0711860491</v>
      </c>
      <c r="AN47" s="9">
        <v>0.99</v>
      </c>
      <c r="AP47" s="11">
        <f t="shared" si="27"/>
        <v>4393.4747715599169</v>
      </c>
      <c r="AQ47" s="11">
        <f t="shared" si="15"/>
        <v>2944.6779169684905</v>
      </c>
      <c r="AR47" s="20">
        <f t="shared" si="16"/>
        <v>555599.60697518697</v>
      </c>
      <c r="AS47" s="9">
        <v>0.99</v>
      </c>
      <c r="AU47" s="11">
        <f t="shared" si="28"/>
        <v>-13969.757931448838</v>
      </c>
      <c r="AV47" s="11">
        <f t="shared" si="17"/>
        <v>3299.1040868876753</v>
      </c>
      <c r="AW47" s="5">
        <f t="shared" si="18"/>
        <v>622472.46922408976</v>
      </c>
      <c r="AX47" s="9">
        <v>0.99</v>
      </c>
      <c r="AZ47" s="11">
        <f t="shared" si="19"/>
        <v>5761.9218282615866</v>
      </c>
      <c r="BA47" s="9">
        <v>0.99</v>
      </c>
    </row>
    <row r="48" spans="16:53" x14ac:dyDescent="0.2">
      <c r="P48" s="9">
        <v>45</v>
      </c>
      <c r="Q48" s="11">
        <f t="shared" si="22"/>
        <v>29494.581744302424</v>
      </c>
      <c r="R48" s="11">
        <f t="shared" si="20"/>
        <v>3790.8963196037953</v>
      </c>
      <c r="S48" s="5">
        <f t="shared" si="21"/>
        <v>715263.45652901789</v>
      </c>
      <c r="T48" s="9">
        <v>0.99</v>
      </c>
      <c r="V48" s="11">
        <f t="shared" si="23"/>
        <v>-15257.758321459625</v>
      </c>
      <c r="W48" s="11">
        <f t="shared" si="7"/>
        <v>4008.0664512449275</v>
      </c>
      <c r="X48" s="20">
        <f t="shared" si="8"/>
        <v>756238.95306508068</v>
      </c>
      <c r="Y48" s="9">
        <v>0.99</v>
      </c>
      <c r="AA48" s="11">
        <f t="shared" si="24"/>
        <v>-34220.017253462691</v>
      </c>
      <c r="AB48" s="11">
        <f t="shared" si="9"/>
        <v>3044.367024079243</v>
      </c>
      <c r="AC48" s="5">
        <f t="shared" si="10"/>
        <v>574408.87246778165</v>
      </c>
      <c r="AD48" s="9">
        <v>0.99</v>
      </c>
      <c r="AF48" s="11">
        <f t="shared" si="25"/>
        <v>90921.695370125148</v>
      </c>
      <c r="AG48" s="11">
        <f t="shared" si="11"/>
        <v>5573.6718235835096</v>
      </c>
      <c r="AH48" s="5">
        <f t="shared" si="12"/>
        <v>1051636.1931289646</v>
      </c>
      <c r="AI48" s="9">
        <v>0.99</v>
      </c>
      <c r="AK48" s="11">
        <f t="shared" si="26"/>
        <v>298571.41810368968</v>
      </c>
      <c r="AL48" s="11">
        <f t="shared" si="13"/>
        <v>9549.1416015131981</v>
      </c>
      <c r="AM48" s="5">
        <f t="shared" si="14"/>
        <v>1801724.8304741886</v>
      </c>
      <c r="AN48" s="9">
        <v>0.99</v>
      </c>
      <c r="AP48" s="11">
        <f t="shared" si="27"/>
        <v>7308.7059093587231</v>
      </c>
      <c r="AQ48" s="11">
        <f t="shared" si="15"/>
        <v>2915.2311377988058</v>
      </c>
      <c r="AR48" s="20">
        <f t="shared" si="16"/>
        <v>550043.61090543505</v>
      </c>
      <c r="AS48" s="9">
        <v>0.99</v>
      </c>
      <c r="AU48" s="11">
        <f t="shared" si="28"/>
        <v>-10703.64488543004</v>
      </c>
      <c r="AV48" s="11">
        <f t="shared" si="17"/>
        <v>3266.1130460187983</v>
      </c>
      <c r="AW48" s="5">
        <f t="shared" si="18"/>
        <v>616247.74453184882</v>
      </c>
      <c r="AX48" s="9">
        <v>0.99</v>
      </c>
      <c r="AZ48" s="11">
        <f t="shared" si="19"/>
        <v>5704.3026099789704</v>
      </c>
      <c r="BA48" s="9">
        <v>0.99</v>
      </c>
    </row>
    <row r="49" spans="4:53" x14ac:dyDescent="0.2">
      <c r="P49" s="9">
        <v>46</v>
      </c>
      <c r="Q49" s="11">
        <f t="shared" si="22"/>
        <v>33247.569100710185</v>
      </c>
      <c r="R49" s="11">
        <f t="shared" si="20"/>
        <v>3752.9873564077575</v>
      </c>
      <c r="S49" s="5">
        <f t="shared" si="21"/>
        <v>708110.82196372771</v>
      </c>
      <c r="T49" s="9">
        <v>0.99</v>
      </c>
      <c r="V49" s="11">
        <f t="shared" si="23"/>
        <v>-11289.772534727148</v>
      </c>
      <c r="W49" s="11">
        <f t="shared" si="7"/>
        <v>3967.9857867324781</v>
      </c>
      <c r="X49" s="20">
        <f t="shared" si="8"/>
        <v>748676.56353442988</v>
      </c>
      <c r="Y49" s="9">
        <v>0.99</v>
      </c>
      <c r="AA49" s="11">
        <f t="shared" si="24"/>
        <v>-31206.09389962424</v>
      </c>
      <c r="AB49" s="11">
        <f t="shared" si="9"/>
        <v>3013.9233538384506</v>
      </c>
      <c r="AC49" s="5">
        <f t="shared" si="10"/>
        <v>568664.78374310385</v>
      </c>
      <c r="AD49" s="9">
        <v>0.99</v>
      </c>
      <c r="AF49" s="11">
        <f t="shared" si="25"/>
        <v>96439.630475472819</v>
      </c>
      <c r="AG49" s="11">
        <f t="shared" si="11"/>
        <v>5517.9351053476748</v>
      </c>
      <c r="AH49" s="5">
        <f t="shared" si="12"/>
        <v>1041119.831197675</v>
      </c>
      <c r="AI49" s="9">
        <v>0.99</v>
      </c>
      <c r="AK49" s="11">
        <f t="shared" si="26"/>
        <v>308025.06828918774</v>
      </c>
      <c r="AL49" s="11">
        <f t="shared" si="13"/>
        <v>9453.6501854980652</v>
      </c>
      <c r="AM49" s="5">
        <f t="shared" si="14"/>
        <v>1783707.5821694466</v>
      </c>
      <c r="AN49" s="9">
        <v>0.99</v>
      </c>
      <c r="AP49" s="11">
        <f t="shared" si="27"/>
        <v>10194.78473577954</v>
      </c>
      <c r="AQ49" s="11">
        <f t="shared" si="15"/>
        <v>2886.0788264208177</v>
      </c>
      <c r="AR49" s="20">
        <f t="shared" si="16"/>
        <v>544543.17479638068</v>
      </c>
      <c r="AS49" s="9">
        <v>0.99</v>
      </c>
      <c r="AU49" s="11">
        <f t="shared" si="28"/>
        <v>-7470.1929698714293</v>
      </c>
      <c r="AV49" s="11">
        <f t="shared" si="17"/>
        <v>3233.4519155586104</v>
      </c>
      <c r="AW49" s="5">
        <f t="shared" si="18"/>
        <v>610085.26708653034</v>
      </c>
      <c r="AX49" s="9">
        <v>0.99</v>
      </c>
      <c r="AZ49" s="11">
        <f t="shared" si="19"/>
        <v>5647.2595838791804</v>
      </c>
      <c r="BA49" s="9">
        <v>0.99</v>
      </c>
    </row>
    <row r="50" spans="4:53" x14ac:dyDescent="0.2">
      <c r="P50" s="9">
        <v>47</v>
      </c>
      <c r="Q50" s="11">
        <f t="shared" si="22"/>
        <v>36963.026583553867</v>
      </c>
      <c r="R50" s="11">
        <f t="shared" si="20"/>
        <v>3715.4574828436798</v>
      </c>
      <c r="S50" s="5">
        <f t="shared" si="21"/>
        <v>701029.7137440904</v>
      </c>
      <c r="T50" s="9">
        <v>0.99</v>
      </c>
      <c r="V50" s="11">
        <f t="shared" si="23"/>
        <v>-7361.466605861995</v>
      </c>
      <c r="W50" s="11">
        <f t="shared" si="7"/>
        <v>3928.3059288651534</v>
      </c>
      <c r="X50" s="20">
        <f t="shared" si="8"/>
        <v>741189.79789908556</v>
      </c>
      <c r="Y50" s="9">
        <v>0.99</v>
      </c>
      <c r="AA50" s="11">
        <f t="shared" si="24"/>
        <v>-28222.309779324176</v>
      </c>
      <c r="AB50" s="11">
        <f t="shared" si="9"/>
        <v>2983.7841203000662</v>
      </c>
      <c r="AC50" s="5">
        <f t="shared" si="10"/>
        <v>562978.1359056728</v>
      </c>
      <c r="AD50" s="9">
        <v>0.99</v>
      </c>
      <c r="AF50" s="11">
        <f t="shared" si="25"/>
        <v>101902.38622976701</v>
      </c>
      <c r="AG50" s="11">
        <f t="shared" si="11"/>
        <v>5462.7557542941977</v>
      </c>
      <c r="AH50" s="5">
        <f t="shared" si="12"/>
        <v>1030708.6328856982</v>
      </c>
      <c r="AI50" s="9">
        <v>0.99</v>
      </c>
      <c r="AK50" s="11">
        <f t="shared" si="26"/>
        <v>317384.18197283085</v>
      </c>
      <c r="AL50" s="11">
        <f t="shared" si="13"/>
        <v>9359.1136836430851</v>
      </c>
      <c r="AM50" s="5">
        <f t="shared" si="14"/>
        <v>1765870.5063477522</v>
      </c>
      <c r="AN50" s="9">
        <v>0.99</v>
      </c>
      <c r="AP50" s="11">
        <f t="shared" si="27"/>
        <v>13052.00277393615</v>
      </c>
      <c r="AQ50" s="11">
        <f t="shared" si="15"/>
        <v>2857.2180381566095</v>
      </c>
      <c r="AR50" s="20">
        <f t="shared" si="16"/>
        <v>539097.74304841692</v>
      </c>
      <c r="AS50" s="9">
        <v>0.99</v>
      </c>
      <c r="AU50" s="11">
        <f t="shared" si="28"/>
        <v>-4269.0755734684053</v>
      </c>
      <c r="AV50" s="11">
        <f t="shared" si="17"/>
        <v>3201.117396403024</v>
      </c>
      <c r="AW50" s="5">
        <f t="shared" si="18"/>
        <v>603984.41441566497</v>
      </c>
      <c r="AX50" s="9">
        <v>0.99</v>
      </c>
      <c r="AZ50" s="11">
        <f t="shared" si="19"/>
        <v>5590.7869880403887</v>
      </c>
      <c r="BA50" s="9">
        <v>0.99</v>
      </c>
    </row>
    <row r="51" spans="4:53" x14ac:dyDescent="0.2">
      <c r="P51" s="9">
        <v>48</v>
      </c>
      <c r="Q51" s="11">
        <f t="shared" si="22"/>
        <v>40641.329491569108</v>
      </c>
      <c r="R51" s="11">
        <f t="shared" si="20"/>
        <v>3678.3029080152428</v>
      </c>
      <c r="S51" s="5">
        <f t="shared" si="21"/>
        <v>694019.41660664952</v>
      </c>
      <c r="T51" s="9">
        <v>0.99</v>
      </c>
      <c r="V51" s="11">
        <f t="shared" si="23"/>
        <v>-3472.4437362854933</v>
      </c>
      <c r="W51" s="11">
        <f t="shared" si="7"/>
        <v>3889.0228695765018</v>
      </c>
      <c r="X51" s="20">
        <f t="shared" si="8"/>
        <v>733777.89992009476</v>
      </c>
      <c r="Y51" s="9">
        <v>0.99</v>
      </c>
      <c r="AA51" s="11">
        <f t="shared" si="24"/>
        <v>-25268.363500227111</v>
      </c>
      <c r="AB51" s="11">
        <f t="shared" si="9"/>
        <v>2953.9462790970656</v>
      </c>
      <c r="AC51" s="5">
        <f t="shared" si="10"/>
        <v>557348.35454661609</v>
      </c>
      <c r="AD51" s="9">
        <v>0.99</v>
      </c>
      <c r="AF51" s="11">
        <f t="shared" si="25"/>
        <v>107310.51442651828</v>
      </c>
      <c r="AG51" s="11">
        <f t="shared" si="11"/>
        <v>5408.1281967512559</v>
      </c>
      <c r="AH51" s="5">
        <f t="shared" si="12"/>
        <v>1020401.5465568412</v>
      </c>
      <c r="AI51" s="9">
        <v>0.99</v>
      </c>
      <c r="AK51" s="11">
        <f t="shared" si="26"/>
        <v>326649.70451963751</v>
      </c>
      <c r="AL51" s="11">
        <f t="shared" si="13"/>
        <v>9265.5225468066546</v>
      </c>
      <c r="AM51" s="5">
        <f t="shared" si="14"/>
        <v>1748211.8012842746</v>
      </c>
      <c r="AN51" s="9">
        <v>0.99</v>
      </c>
      <c r="AP51" s="11">
        <f t="shared" si="27"/>
        <v>15880.648631711194</v>
      </c>
      <c r="AQ51" s="11">
        <f t="shared" si="15"/>
        <v>2828.6458577750432</v>
      </c>
      <c r="AR51" s="20">
        <f t="shared" si="16"/>
        <v>533706.76561793278</v>
      </c>
      <c r="AS51" s="9">
        <v>0.99</v>
      </c>
      <c r="AU51" s="11">
        <f t="shared" si="28"/>
        <v>-1099.9693510294114</v>
      </c>
      <c r="AV51" s="11">
        <f t="shared" si="17"/>
        <v>3169.1062224389939</v>
      </c>
      <c r="AW51" s="5">
        <f t="shared" si="18"/>
        <v>597944.5702715083</v>
      </c>
      <c r="AX51" s="9">
        <v>0.99</v>
      </c>
      <c r="AZ51" s="11">
        <f t="shared" si="19"/>
        <v>5534.8791181599845</v>
      </c>
      <c r="BA51" s="9">
        <v>0.99</v>
      </c>
    </row>
    <row r="52" spans="4:53" x14ac:dyDescent="0.2">
      <c r="P52" s="9">
        <v>49</v>
      </c>
      <c r="Q52" s="11">
        <f t="shared" si="22"/>
        <v>44282.849370504198</v>
      </c>
      <c r="R52" s="11">
        <f t="shared" si="20"/>
        <v>3641.5198789350902</v>
      </c>
      <c r="S52" s="5">
        <f t="shared" si="21"/>
        <v>687079.22244058305</v>
      </c>
      <c r="T52" s="9">
        <v>0.99</v>
      </c>
      <c r="V52" s="11">
        <f t="shared" si="23"/>
        <v>377.68890459524346</v>
      </c>
      <c r="W52" s="11">
        <f t="shared" si="7"/>
        <v>3850.1326408807367</v>
      </c>
      <c r="X52" s="20">
        <f t="shared" si="8"/>
        <v>726440.12092089385</v>
      </c>
      <c r="Y52" s="9">
        <v>0.99</v>
      </c>
      <c r="AA52" s="11">
        <f t="shared" si="24"/>
        <v>-22343.956683921017</v>
      </c>
      <c r="AB52" s="11">
        <f t="shared" si="9"/>
        <v>2924.4068163060947</v>
      </c>
      <c r="AC52" s="5">
        <f t="shared" si="10"/>
        <v>551774.87100114988</v>
      </c>
      <c r="AD52" s="9">
        <v>0.99</v>
      </c>
      <c r="AF52" s="11">
        <f t="shared" si="25"/>
        <v>112664.56134130202</v>
      </c>
      <c r="AG52" s="11">
        <f t="shared" si="11"/>
        <v>5354.046914783743</v>
      </c>
      <c r="AH52" s="5">
        <f t="shared" si="12"/>
        <v>1010197.5310912728</v>
      </c>
      <c r="AI52" s="9">
        <v>0.99</v>
      </c>
      <c r="AK52" s="11">
        <f t="shared" si="26"/>
        <v>335822.57184097607</v>
      </c>
      <c r="AL52" s="11">
        <f t="shared" si="13"/>
        <v>9172.8673213385882</v>
      </c>
      <c r="AM52" s="5">
        <f t="shared" si="14"/>
        <v>1730729.6832714318</v>
      </c>
      <c r="AN52" s="9">
        <v>0.99</v>
      </c>
      <c r="AP52" s="11">
        <f t="shared" si="27"/>
        <v>18681.008030908488</v>
      </c>
      <c r="AQ52" s="11">
        <f t="shared" si="15"/>
        <v>2800.3593991972925</v>
      </c>
      <c r="AR52" s="20">
        <f t="shared" si="16"/>
        <v>528369.69796175347</v>
      </c>
      <c r="AS52" s="9">
        <v>0.99</v>
      </c>
      <c r="AU52" s="11">
        <f t="shared" si="28"/>
        <v>2037.4458091851925</v>
      </c>
      <c r="AV52" s="11">
        <f t="shared" si="17"/>
        <v>3137.4151602146039</v>
      </c>
      <c r="AW52" s="5">
        <f t="shared" si="18"/>
        <v>591965.12456879322</v>
      </c>
      <c r="AX52" s="9">
        <v>0.99</v>
      </c>
      <c r="AZ52" s="11">
        <f t="shared" si="19"/>
        <v>5479.5303269783844</v>
      </c>
      <c r="BA52" s="9">
        <v>0.99</v>
      </c>
    </row>
    <row r="53" spans="4:53" x14ac:dyDescent="0.2">
      <c r="P53" s="9">
        <v>50</v>
      </c>
      <c r="Q53" s="11">
        <f t="shared" si="22"/>
        <v>47887.95405064994</v>
      </c>
      <c r="R53" s="11">
        <f t="shared" si="20"/>
        <v>3605.1046801457392</v>
      </c>
      <c r="S53" s="5">
        <f t="shared" si="21"/>
        <v>680208.43021617725</v>
      </c>
      <c r="T53" s="9">
        <v>0.99</v>
      </c>
      <c r="V53" s="11">
        <f t="shared" si="23"/>
        <v>4189.3202190671727</v>
      </c>
      <c r="W53" s="11">
        <f t="shared" si="7"/>
        <v>3811.6313144719293</v>
      </c>
      <c r="X53" s="20">
        <f t="shared" si="8"/>
        <v>719175.71971168485</v>
      </c>
      <c r="Y53" s="9">
        <v>0.99</v>
      </c>
      <c r="AA53" s="11">
        <f t="shared" si="24"/>
        <v>-19448.793935777983</v>
      </c>
      <c r="AB53" s="11">
        <f t="shared" si="9"/>
        <v>2895.1627481430337</v>
      </c>
      <c r="AC53" s="5">
        <f t="shared" si="10"/>
        <v>546257.1222911384</v>
      </c>
      <c r="AD53" s="9">
        <v>0.99</v>
      </c>
      <c r="AF53" s="11">
        <f t="shared" si="25"/>
        <v>117965.06778693793</v>
      </c>
      <c r="AG53" s="11">
        <f t="shared" si="11"/>
        <v>5300.5064456359059</v>
      </c>
      <c r="AH53" s="5">
        <f t="shared" si="12"/>
        <v>1000095.5557803601</v>
      </c>
      <c r="AI53" s="9">
        <v>0.99</v>
      </c>
      <c r="AK53" s="11">
        <f t="shared" si="26"/>
        <v>344903.7104891013</v>
      </c>
      <c r="AL53" s="11">
        <f t="shared" si="13"/>
        <v>9081.138648125203</v>
      </c>
      <c r="AM53" s="5">
        <f t="shared" si="14"/>
        <v>1713422.3864387176</v>
      </c>
      <c r="AN53" s="9">
        <v>0.99</v>
      </c>
      <c r="AP53" s="11">
        <f t="shared" si="27"/>
        <v>21453.363836113807</v>
      </c>
      <c r="AQ53" s="11">
        <f t="shared" si="15"/>
        <v>2772.3558052053195</v>
      </c>
      <c r="AR53" s="20">
        <f t="shared" si="16"/>
        <v>523086.00098213594</v>
      </c>
      <c r="AS53" s="9">
        <v>0.99</v>
      </c>
      <c r="AU53" s="11">
        <f t="shared" si="28"/>
        <v>5143.4868177976505</v>
      </c>
      <c r="AV53" s="11">
        <f t="shared" si="17"/>
        <v>3106.041008612458</v>
      </c>
      <c r="AW53" s="5">
        <f t="shared" si="18"/>
        <v>586045.47332310525</v>
      </c>
      <c r="AX53" s="9">
        <v>0.99</v>
      </c>
      <c r="AZ53" s="11">
        <f t="shared" si="19"/>
        <v>5424.7350237086002</v>
      </c>
      <c r="BA53" s="9">
        <v>0.99</v>
      </c>
    </row>
    <row r="54" spans="4:53" x14ac:dyDescent="0.2">
      <c r="P54" s="9">
        <v>51</v>
      </c>
      <c r="Q54" s="11">
        <f t="shared" si="22"/>
        <v>51457.007683994219</v>
      </c>
      <c r="R54" s="11">
        <f t="shared" si="20"/>
        <v>3569.0536333442819</v>
      </c>
      <c r="S54" s="5">
        <f t="shared" si="21"/>
        <v>673406.34591401543</v>
      </c>
      <c r="T54" s="9">
        <v>0.99</v>
      </c>
      <c r="V54" s="11">
        <f t="shared" si="23"/>
        <v>7962.8352203943832</v>
      </c>
      <c r="W54" s="11">
        <f t="shared" si="7"/>
        <v>3773.51500132721</v>
      </c>
      <c r="X54" s="20">
        <f t="shared" si="8"/>
        <v>711983.962514568</v>
      </c>
      <c r="Y54" s="9">
        <v>0.99</v>
      </c>
      <c r="AA54" s="11">
        <f t="shared" si="24"/>
        <v>-16582.582815116381</v>
      </c>
      <c r="AB54" s="11">
        <f t="shared" si="9"/>
        <v>2866.2111206616032</v>
      </c>
      <c r="AC54" s="5">
        <f t="shared" si="10"/>
        <v>540794.55106822704</v>
      </c>
      <c r="AD54" s="9">
        <v>0.99</v>
      </c>
      <c r="AF54" s="11">
        <f t="shared" si="25"/>
        <v>123212.56916811748</v>
      </c>
      <c r="AG54" s="11">
        <f t="shared" si="11"/>
        <v>5247.501381179547</v>
      </c>
      <c r="AH54" s="5">
        <f t="shared" si="12"/>
        <v>990094.6002225565</v>
      </c>
      <c r="AI54" s="9">
        <v>0.99</v>
      </c>
      <c r="AK54" s="11">
        <f t="shared" si="26"/>
        <v>353894.03775074525</v>
      </c>
      <c r="AL54" s="11">
        <f t="shared" si="13"/>
        <v>8990.3272616439517</v>
      </c>
      <c r="AM54" s="5">
        <f t="shared" si="14"/>
        <v>1696288.1625743303</v>
      </c>
      <c r="AN54" s="9">
        <v>0.99</v>
      </c>
      <c r="AP54" s="11">
        <f t="shared" si="27"/>
        <v>24197.996083267073</v>
      </c>
      <c r="AQ54" s="11">
        <f t="shared" si="15"/>
        <v>2744.6322471532662</v>
      </c>
      <c r="AR54" s="20">
        <f t="shared" si="16"/>
        <v>517855.14097231458</v>
      </c>
      <c r="AS54" s="9">
        <v>0.99</v>
      </c>
      <c r="AU54" s="11">
        <f t="shared" si="28"/>
        <v>8218.4674163239833</v>
      </c>
      <c r="AV54" s="11">
        <f t="shared" si="17"/>
        <v>3074.9805985263333</v>
      </c>
      <c r="AW54" s="5">
        <f t="shared" si="18"/>
        <v>580185.01858987415</v>
      </c>
      <c r="AX54" s="9">
        <v>0.99</v>
      </c>
      <c r="AZ54" s="11">
        <f t="shared" si="19"/>
        <v>5370.4876734715144</v>
      </c>
      <c r="BA54" s="9">
        <v>0.99</v>
      </c>
    </row>
    <row r="55" spans="4:53" x14ac:dyDescent="0.2">
      <c r="D55" s="20">
        <f>D3+50000</f>
        <v>5050000</v>
      </c>
      <c r="P55" s="9">
        <v>52</v>
      </c>
      <c r="Q55" s="11">
        <f t="shared" si="22"/>
        <v>54990.370781005062</v>
      </c>
      <c r="R55" s="11">
        <f t="shared" si="20"/>
        <v>3533.3630970108393</v>
      </c>
      <c r="S55" s="5">
        <f t="shared" si="21"/>
        <v>666672.2824548753</v>
      </c>
      <c r="T55" s="9">
        <v>0.99</v>
      </c>
      <c r="V55" s="11">
        <f t="shared" si="23"/>
        <v>11698.615071708322</v>
      </c>
      <c r="W55" s="11">
        <f t="shared" si="7"/>
        <v>3735.7798513139378</v>
      </c>
      <c r="X55" s="20">
        <f t="shared" si="8"/>
        <v>704864.12288942235</v>
      </c>
      <c r="Y55" s="9">
        <v>0.99</v>
      </c>
      <c r="AA55" s="11">
        <f t="shared" si="24"/>
        <v>-13745.033805661393</v>
      </c>
      <c r="AB55" s="11">
        <f t="shared" si="9"/>
        <v>2837.5490094549873</v>
      </c>
      <c r="AC55" s="5">
        <f t="shared" si="10"/>
        <v>535386.60555754474</v>
      </c>
      <c r="AD55" s="9">
        <v>0.99</v>
      </c>
      <c r="AF55" s="11">
        <f t="shared" si="25"/>
        <v>128407.59553548523</v>
      </c>
      <c r="AG55" s="11">
        <f t="shared" si="11"/>
        <v>5195.0263673677518</v>
      </c>
      <c r="AH55" s="5">
        <f t="shared" si="12"/>
        <v>980193.65422033088</v>
      </c>
      <c r="AI55" s="9">
        <v>0.99</v>
      </c>
      <c r="AK55" s="11">
        <f t="shared" si="26"/>
        <v>362794.46173977276</v>
      </c>
      <c r="AL55" s="11">
        <f t="shared" si="13"/>
        <v>8900.423989027513</v>
      </c>
      <c r="AM55" s="5">
        <f t="shared" si="14"/>
        <v>1679325.280948587</v>
      </c>
      <c r="AN55" s="9">
        <v>0.99</v>
      </c>
      <c r="AP55" s="11">
        <f t="shared" si="27"/>
        <v>26915.182007948806</v>
      </c>
      <c r="AQ55" s="11">
        <f t="shared" si="15"/>
        <v>2717.1859246817335</v>
      </c>
      <c r="AR55" s="20">
        <f t="shared" si="16"/>
        <v>512676.5895625914</v>
      </c>
      <c r="AS55" s="9">
        <v>0.99</v>
      </c>
      <c r="AU55" s="11">
        <f t="shared" si="28"/>
        <v>11262.698208865053</v>
      </c>
      <c r="AV55" s="11">
        <f t="shared" si="17"/>
        <v>3044.2307925410701</v>
      </c>
      <c r="AW55" s="5">
        <f t="shared" si="18"/>
        <v>574383.16840397543</v>
      </c>
      <c r="AX55" s="9">
        <v>0.99</v>
      </c>
      <c r="AZ55" s="11">
        <f t="shared" si="19"/>
        <v>5316.7827967367994</v>
      </c>
      <c r="BA55" s="9">
        <v>0.99</v>
      </c>
    </row>
    <row r="56" spans="4:53" x14ac:dyDescent="0.2">
      <c r="D56" s="20"/>
      <c r="P56" s="9" t="s">
        <v>34</v>
      </c>
      <c r="Q56" s="11">
        <f>-F3</f>
        <v>-300000</v>
      </c>
      <c r="R56" s="11"/>
      <c r="S56" s="5"/>
      <c r="V56" s="11">
        <f>-F3</f>
        <v>-300000</v>
      </c>
      <c r="W56" s="11"/>
      <c r="X56" s="20"/>
      <c r="AA56" s="11">
        <f>-F3</f>
        <v>-300000</v>
      </c>
      <c r="AB56" s="11"/>
      <c r="AC56" s="5"/>
      <c r="AF56" s="11">
        <f>-F3</f>
        <v>-300000</v>
      </c>
      <c r="AG56" s="11"/>
      <c r="AH56" s="5"/>
      <c r="AK56" s="11">
        <f>-F3</f>
        <v>-300000</v>
      </c>
      <c r="AL56" s="11"/>
      <c r="AM56" s="5"/>
      <c r="AP56" s="11">
        <f>-F3</f>
        <v>-300000</v>
      </c>
      <c r="AQ56" s="11"/>
      <c r="AU56" s="11">
        <f>-F3</f>
        <v>-300000</v>
      </c>
      <c r="AV56" s="11"/>
      <c r="AW56" s="5"/>
      <c r="AZ56" s="11"/>
    </row>
    <row r="57" spans="4:53" s="4" customFormat="1" x14ac:dyDescent="0.2">
      <c r="P57" s="4" t="s">
        <v>17</v>
      </c>
      <c r="Q57" s="21">
        <f>Q55</f>
        <v>54990.370781005062</v>
      </c>
      <c r="R57" s="12">
        <f>SUM(R3:R55)</f>
        <v>354990.37078100501</v>
      </c>
      <c r="S57" s="13">
        <f>SUM(S3:S55)</f>
        <v>66979315.241699062</v>
      </c>
      <c r="U57" s="22"/>
      <c r="V57" s="25">
        <f>V55</f>
        <v>11698.615071708322</v>
      </c>
      <c r="W57" s="12">
        <f>SUM(W3:W55)</f>
        <v>311698.61507170828</v>
      </c>
      <c r="X57" s="21">
        <f>SUM(X3:X55)</f>
        <v>58811059.447492138</v>
      </c>
      <c r="Z57" s="22"/>
      <c r="AA57" s="25">
        <f>-F3</f>
        <v>-300000</v>
      </c>
      <c r="AB57" s="12">
        <f>SUM(AB3:AB55)</f>
        <v>286254.96619433857</v>
      </c>
      <c r="AC57" s="13">
        <f>SUM(AC3:AC55)</f>
        <v>54010370.980063878</v>
      </c>
      <c r="AE57" s="22"/>
      <c r="AF57" s="25">
        <f>AF55</f>
        <v>128407.59553548523</v>
      </c>
      <c r="AG57" s="12">
        <f>SUM(AG3:AG55)</f>
        <v>428407.59553548513</v>
      </c>
      <c r="AH57" s="13">
        <f>SUM(AH3:AH55)</f>
        <v>80831621.799148142</v>
      </c>
      <c r="AJ57" s="22"/>
      <c r="AK57" s="25">
        <f>AK55</f>
        <v>362794.46173977276</v>
      </c>
      <c r="AL57" s="12">
        <f>SUM(AL3:AL55)</f>
        <v>662794.46173977258</v>
      </c>
      <c r="AM57" s="13">
        <f>SUM(AM3:AM55)</f>
        <v>125055558.81882501</v>
      </c>
      <c r="AO57" s="22"/>
      <c r="AP57" s="25">
        <f>AP55</f>
        <v>26915.182007948806</v>
      </c>
      <c r="AQ57" s="12">
        <f>SUM(AQ3:AQ55)</f>
        <v>326915.18200794869</v>
      </c>
      <c r="AR57" s="21">
        <f>SUM(AR3:AR55)</f>
        <v>61682109.812820531</v>
      </c>
      <c r="AT57" s="22"/>
      <c r="AU57" s="25">
        <f>AU55</f>
        <v>11262.698208865053</v>
      </c>
      <c r="AV57" s="12">
        <f>SUM(AV3:AV55)</f>
        <v>311262.69820886495</v>
      </c>
      <c r="AW57" s="13">
        <f>SUM(AW3:AW55)</f>
        <v>58728810.982804723</v>
      </c>
      <c r="AY57" s="22"/>
      <c r="AZ57" s="12">
        <f>SUM(AZ3:AZ55)</f>
        <v>469623.34246593522</v>
      </c>
    </row>
    <row r="58" spans="4:53" x14ac:dyDescent="0.2">
      <c r="P58" s="4" t="s">
        <v>18</v>
      </c>
      <c r="Q58" s="30">
        <f t="shared" ref="Q58:Q66" si="29">Q57+R58</f>
        <v>257334.88212617789</v>
      </c>
      <c r="R58" s="17">
        <f>R57*T58</f>
        <v>202344.51134517282</v>
      </c>
      <c r="S58" s="17"/>
      <c r="T58" s="9">
        <v>0.56999999999999995</v>
      </c>
      <c r="V58" s="25">
        <f t="shared" ref="V58:V66" si="30">V57+W58</f>
        <v>139495.04725110871</v>
      </c>
      <c r="W58" s="11">
        <f>W57*Y58</f>
        <v>127796.43217940039</v>
      </c>
      <c r="X58" s="11"/>
      <c r="Y58" s="9">
        <v>0.41</v>
      </c>
      <c r="AA58" s="25">
        <f t="shared" ref="AA58:AA66" si="31">AA57+AB58</f>
        <v>-201242.03666295321</v>
      </c>
      <c r="AB58" s="11">
        <f>AB57*AD58</f>
        <v>98757.963337046793</v>
      </c>
      <c r="AC58" s="11"/>
      <c r="AD58" s="9">
        <v>0.34499999999999997</v>
      </c>
      <c r="AF58" s="25">
        <f t="shared" ref="AF58:AF66" si="32">AF57+AG58</f>
        <v>278350.25397290505</v>
      </c>
      <c r="AG58" s="11">
        <f>AG57*AI58</f>
        <v>149942.6584374198</v>
      </c>
      <c r="AH58" s="11"/>
      <c r="AI58" s="9">
        <v>0.35</v>
      </c>
      <c r="AK58" s="25">
        <f t="shared" ref="AK58:AK66" si="33">AK57+AL58</f>
        <v>654424.02490527276</v>
      </c>
      <c r="AL58" s="11">
        <f>AL57*AN58</f>
        <v>291629.56316549995</v>
      </c>
      <c r="AN58" s="9">
        <v>0.44</v>
      </c>
      <c r="AP58" s="25">
        <f t="shared" ref="AP58:AP66" si="34">AP57+AQ58</f>
        <v>174027.01391152572</v>
      </c>
      <c r="AQ58" s="11">
        <f>AQ57*AS58</f>
        <v>147111.83190357691</v>
      </c>
      <c r="AS58" s="9">
        <v>0.45</v>
      </c>
      <c r="AU58" s="25">
        <f t="shared" ref="AU58:AU66" si="35">AU57+AV58</f>
        <v>107754.13465361319</v>
      </c>
      <c r="AV58" s="11">
        <f>AV57*AX58</f>
        <v>96491.436444748135</v>
      </c>
      <c r="AW58" s="11"/>
      <c r="AX58" s="9">
        <v>0.31</v>
      </c>
    </row>
    <row r="59" spans="4:53" x14ac:dyDescent="0.2">
      <c r="P59" s="4" t="s">
        <v>19</v>
      </c>
      <c r="Q59" s="30">
        <f t="shared" si="29"/>
        <v>390882.25961399195</v>
      </c>
      <c r="R59" s="17">
        <f t="shared" ref="R59:R66" si="36">R58*T59</f>
        <v>133547.37748781408</v>
      </c>
      <c r="S59" s="17"/>
      <c r="T59" s="9">
        <v>0.66</v>
      </c>
      <c r="V59" s="25">
        <f t="shared" si="30"/>
        <v>212977.99575426395</v>
      </c>
      <c r="W59" s="11">
        <f t="shared" ref="W59:W66" si="37">W58*Y59</f>
        <v>73482.948503155218</v>
      </c>
      <c r="X59" s="11"/>
      <c r="Y59" s="9">
        <v>0.57499999999999996</v>
      </c>
      <c r="AA59" s="25">
        <f t="shared" si="31"/>
        <v>-141987.25866072514</v>
      </c>
      <c r="AB59" s="11">
        <f t="shared" ref="AB59:AB66" si="38">AB58*AD59</f>
        <v>59254.778002228071</v>
      </c>
      <c r="AC59" s="11"/>
      <c r="AD59" s="9">
        <v>0.6</v>
      </c>
      <c r="AF59" s="25">
        <f t="shared" si="32"/>
        <v>365316.99586660851</v>
      </c>
      <c r="AG59" s="11">
        <f t="shared" ref="AG59:AG66" si="39">AG58*AI59</f>
        <v>86966.741893703482</v>
      </c>
      <c r="AH59" s="11"/>
      <c r="AI59" s="9">
        <v>0.57999999999999996</v>
      </c>
      <c r="AK59" s="25">
        <f t="shared" si="33"/>
        <v>846899.53659450274</v>
      </c>
      <c r="AL59" s="11">
        <f t="shared" ref="AL59:AL66" si="40">AL58*AN59</f>
        <v>192475.51168922998</v>
      </c>
      <c r="AN59" s="9">
        <v>0.66</v>
      </c>
      <c r="AP59" s="25">
        <f t="shared" si="34"/>
        <v>265236.34969174338</v>
      </c>
      <c r="AQ59" s="11">
        <f t="shared" ref="AQ59:AQ66" si="41">AQ58*AS59</f>
        <v>91209.335780217676</v>
      </c>
      <c r="AS59" s="9">
        <v>0.62</v>
      </c>
      <c r="AU59" s="25">
        <f t="shared" si="35"/>
        <v>166613.91088490956</v>
      </c>
      <c r="AV59" s="11">
        <f t="shared" ref="AV59:AV66" si="42">AV58*AX59</f>
        <v>58859.77623129636</v>
      </c>
      <c r="AW59" s="11"/>
      <c r="AX59" s="9">
        <v>0.61</v>
      </c>
    </row>
    <row r="60" spans="4:53" x14ac:dyDescent="0.2">
      <c r="P60" s="4" t="s">
        <v>20</v>
      </c>
      <c r="Q60" s="30">
        <f t="shared" si="29"/>
        <v>480359.00253082742</v>
      </c>
      <c r="R60" s="17">
        <f t="shared" si="36"/>
        <v>89476.742916835443</v>
      </c>
      <c r="S60" s="17"/>
      <c r="T60" s="9">
        <v>0.67</v>
      </c>
      <c r="V60" s="25">
        <f t="shared" si="30"/>
        <v>261844.15650886216</v>
      </c>
      <c r="W60" s="11">
        <f t="shared" si="37"/>
        <v>48866.160754598219</v>
      </c>
      <c r="X60" s="11"/>
      <c r="Y60" s="9">
        <v>0.66500000000000004</v>
      </c>
      <c r="AA60" s="25">
        <f t="shared" si="31"/>
        <v>-103175.37906926576</v>
      </c>
      <c r="AB60" s="11">
        <f t="shared" si="38"/>
        <v>38811.879591459387</v>
      </c>
      <c r="AC60" s="11"/>
      <c r="AD60" s="9">
        <v>0.65500000000000003</v>
      </c>
      <c r="AF60" s="25">
        <f t="shared" si="32"/>
        <v>424454.38035432692</v>
      </c>
      <c r="AG60" s="11">
        <f t="shared" si="39"/>
        <v>59137.384487718373</v>
      </c>
      <c r="AH60" s="11"/>
      <c r="AI60" s="9">
        <v>0.68</v>
      </c>
      <c r="AK60" s="25">
        <f t="shared" si="33"/>
        <v>989331.41524453298</v>
      </c>
      <c r="AL60" s="11">
        <f t="shared" si="40"/>
        <v>142431.87865003018</v>
      </c>
      <c r="AN60" s="9">
        <v>0.74</v>
      </c>
      <c r="AP60" s="25">
        <f t="shared" si="34"/>
        <v>321786.13787547837</v>
      </c>
      <c r="AQ60" s="11">
        <f t="shared" si="41"/>
        <v>56549.788183734956</v>
      </c>
      <c r="AS60" s="9">
        <v>0.62</v>
      </c>
      <c r="AU60" s="25">
        <f t="shared" si="35"/>
        <v>208992.94977144295</v>
      </c>
      <c r="AV60" s="11">
        <f t="shared" si="42"/>
        <v>42379.038886533381</v>
      </c>
      <c r="AW60" s="11"/>
      <c r="AX60" s="9">
        <v>0.72</v>
      </c>
    </row>
    <row r="61" spans="4:53" x14ac:dyDescent="0.2">
      <c r="P61" s="4" t="s">
        <v>21</v>
      </c>
      <c r="Q61" s="30">
        <f t="shared" si="29"/>
        <v>542097.95514344389</v>
      </c>
      <c r="R61" s="17">
        <f t="shared" si="36"/>
        <v>61738.952612616449</v>
      </c>
      <c r="S61" s="17"/>
      <c r="T61" s="9">
        <v>0.69</v>
      </c>
      <c r="V61" s="25">
        <f t="shared" si="30"/>
        <v>296294.7998408539</v>
      </c>
      <c r="W61" s="11">
        <f t="shared" si="37"/>
        <v>34450.643331991741</v>
      </c>
      <c r="X61" s="11"/>
      <c r="Y61" s="9">
        <v>0.70499999999999996</v>
      </c>
      <c r="AA61" s="25">
        <f t="shared" si="31"/>
        <v>-72902.112987927438</v>
      </c>
      <c r="AB61" s="11">
        <f t="shared" si="38"/>
        <v>30273.266081338323</v>
      </c>
      <c r="AC61" s="11"/>
      <c r="AD61" s="9">
        <v>0.78</v>
      </c>
      <c r="AF61" s="25">
        <f t="shared" si="32"/>
        <v>469398.79256499291</v>
      </c>
      <c r="AG61" s="11">
        <f t="shared" si="39"/>
        <v>44944.412210665963</v>
      </c>
      <c r="AH61" s="11"/>
      <c r="AI61" s="9">
        <v>0.76</v>
      </c>
      <c r="AK61" s="25">
        <f t="shared" si="33"/>
        <v>1101852.5993780568</v>
      </c>
      <c r="AL61" s="11">
        <f t="shared" si="40"/>
        <v>112521.18413352384</v>
      </c>
      <c r="AN61" s="9">
        <v>0.79</v>
      </c>
      <c r="AP61" s="25">
        <f t="shared" si="34"/>
        <v>373811.94300451456</v>
      </c>
      <c r="AQ61" s="11">
        <f t="shared" si="41"/>
        <v>52025.805129036162</v>
      </c>
      <c r="AS61" s="9">
        <v>0.92</v>
      </c>
      <c r="AU61" s="25">
        <f t="shared" si="35"/>
        <v>242472.39049180431</v>
      </c>
      <c r="AV61" s="11">
        <f t="shared" si="42"/>
        <v>33479.440720361374</v>
      </c>
      <c r="AW61" s="11"/>
      <c r="AX61" s="9">
        <v>0.79</v>
      </c>
    </row>
    <row r="62" spans="4:53" x14ac:dyDescent="0.2">
      <c r="P62" s="4" t="s">
        <v>22</v>
      </c>
      <c r="Q62" s="30">
        <f t="shared" si="29"/>
        <v>590871.72770741093</v>
      </c>
      <c r="R62" s="17">
        <f t="shared" si="36"/>
        <v>48773.772563966995</v>
      </c>
      <c r="S62" s="17"/>
      <c r="T62" s="9">
        <v>0.79</v>
      </c>
      <c r="V62" s="25">
        <f t="shared" si="30"/>
        <v>321788.27590652776</v>
      </c>
      <c r="W62" s="11">
        <f t="shared" si="37"/>
        <v>25493.476065673887</v>
      </c>
      <c r="X62" s="11"/>
      <c r="Y62" s="9">
        <v>0.74</v>
      </c>
      <c r="AA62" s="25">
        <f t="shared" si="31"/>
        <v>-52467.658383024071</v>
      </c>
      <c r="AB62" s="11">
        <f t="shared" si="38"/>
        <v>20434.454604903371</v>
      </c>
      <c r="AC62" s="11"/>
      <c r="AD62" s="9">
        <v>0.67500000000000004</v>
      </c>
      <c r="AF62" s="25">
        <f t="shared" si="32"/>
        <v>504904.87821141904</v>
      </c>
      <c r="AG62" s="11">
        <f t="shared" si="39"/>
        <v>35506.085646426116</v>
      </c>
      <c r="AH62" s="11"/>
      <c r="AI62" s="9">
        <v>0.79</v>
      </c>
      <c r="AK62" s="25">
        <f t="shared" si="33"/>
        <v>1190744.3348435406</v>
      </c>
      <c r="AL62" s="11">
        <f t="shared" si="40"/>
        <v>88891.735465483842</v>
      </c>
      <c r="AN62" s="9">
        <v>0.79</v>
      </c>
      <c r="AP62" s="25">
        <f t="shared" si="34"/>
        <v>410230.00659483986</v>
      </c>
      <c r="AQ62" s="11">
        <f t="shared" si="41"/>
        <v>36418.063590325313</v>
      </c>
      <c r="AS62" s="9">
        <v>0.7</v>
      </c>
      <c r="AU62" s="25">
        <f t="shared" si="35"/>
        <v>270595.12069690786</v>
      </c>
      <c r="AV62" s="11">
        <f t="shared" si="42"/>
        <v>28122.730205103551</v>
      </c>
      <c r="AW62" s="11"/>
      <c r="AX62" s="9">
        <v>0.84</v>
      </c>
    </row>
    <row r="63" spans="4:53" x14ac:dyDescent="0.2">
      <c r="P63" s="4" t="s">
        <v>23</v>
      </c>
      <c r="Q63" s="30">
        <f t="shared" si="29"/>
        <v>625988.84395346721</v>
      </c>
      <c r="R63" s="17">
        <f t="shared" si="36"/>
        <v>35117.116246056234</v>
      </c>
      <c r="S63" s="17"/>
      <c r="T63" s="9">
        <v>0.72</v>
      </c>
      <c r="V63" s="25">
        <f t="shared" si="30"/>
        <v>342183.05675906688</v>
      </c>
      <c r="W63" s="11">
        <f t="shared" si="37"/>
        <v>20394.780852539112</v>
      </c>
      <c r="X63" s="11"/>
      <c r="Y63" s="9">
        <v>0.8</v>
      </c>
      <c r="AA63" s="25">
        <f t="shared" si="31"/>
        <v>-37550.506521444608</v>
      </c>
      <c r="AB63" s="11">
        <f t="shared" si="38"/>
        <v>14917.151861579459</v>
      </c>
      <c r="AC63" s="11"/>
      <c r="AD63" s="9">
        <v>0.73</v>
      </c>
      <c r="AF63" s="25">
        <f t="shared" si="32"/>
        <v>535085.0510108812</v>
      </c>
      <c r="AG63" s="11">
        <f t="shared" si="39"/>
        <v>30180.172799462198</v>
      </c>
      <c r="AH63" s="11"/>
      <c r="AI63" s="9">
        <v>0.85</v>
      </c>
      <c r="AK63" s="25">
        <f t="shared" si="33"/>
        <v>1263635.5579252373</v>
      </c>
      <c r="AL63" s="11">
        <f t="shared" si="40"/>
        <v>72891.223081696749</v>
      </c>
      <c r="AN63" s="9">
        <v>0.82</v>
      </c>
      <c r="AP63" s="25">
        <f t="shared" si="34"/>
        <v>434994.28983626107</v>
      </c>
      <c r="AQ63" s="11">
        <f t="shared" si="41"/>
        <v>24764.283241421213</v>
      </c>
      <c r="AS63" s="9">
        <v>0.68</v>
      </c>
      <c r="AU63" s="25">
        <f t="shared" si="35"/>
        <v>293936.98676714383</v>
      </c>
      <c r="AV63" s="11">
        <f t="shared" si="42"/>
        <v>23341.866070235945</v>
      </c>
      <c r="AW63" s="11"/>
      <c r="AX63" s="9">
        <v>0.83</v>
      </c>
    </row>
    <row r="64" spans="4:53" x14ac:dyDescent="0.2">
      <c r="P64" s="4" t="s">
        <v>24</v>
      </c>
      <c r="Q64" s="30">
        <f t="shared" si="29"/>
        <v>656891.90624999674</v>
      </c>
      <c r="R64" s="17">
        <f t="shared" si="36"/>
        <v>30903.062296529486</v>
      </c>
      <c r="S64" s="17"/>
      <c r="T64" s="9">
        <v>0.88</v>
      </c>
      <c r="V64" s="25">
        <f t="shared" si="30"/>
        <v>359314.67267519975</v>
      </c>
      <c r="W64" s="11">
        <f t="shared" si="37"/>
        <v>17131.615916132854</v>
      </c>
      <c r="X64" s="11"/>
      <c r="Y64" s="9">
        <v>0.84</v>
      </c>
      <c r="AA64" s="25">
        <f t="shared" si="31"/>
        <v>-25616.78503218104</v>
      </c>
      <c r="AB64" s="11">
        <f t="shared" si="38"/>
        <v>11933.721489263567</v>
      </c>
      <c r="AC64" s="11"/>
      <c r="AD64" s="9">
        <v>0.8</v>
      </c>
      <c r="AF64" s="25">
        <f t="shared" si="32"/>
        <v>562247.20653039718</v>
      </c>
      <c r="AG64" s="11">
        <f t="shared" si="39"/>
        <v>27162.155519515978</v>
      </c>
      <c r="AH64" s="11"/>
      <c r="AI64" s="9">
        <v>0.9</v>
      </c>
      <c r="AK64" s="25">
        <f t="shared" si="33"/>
        <v>1327050.9220063135</v>
      </c>
      <c r="AL64" s="11">
        <f t="shared" si="40"/>
        <v>63415.364081076172</v>
      </c>
      <c r="AN64" s="9">
        <v>0.87</v>
      </c>
      <c r="AP64" s="25">
        <f t="shared" si="34"/>
        <v>454062.78793215542</v>
      </c>
      <c r="AQ64" s="11">
        <f t="shared" si="41"/>
        <v>19068.498095894334</v>
      </c>
      <c r="AS64" s="9">
        <v>0.77</v>
      </c>
      <c r="AU64" s="25">
        <f t="shared" si="35"/>
        <v>314477.82890895149</v>
      </c>
      <c r="AV64" s="11">
        <f t="shared" si="42"/>
        <v>20540.842141807632</v>
      </c>
      <c r="AW64" s="11"/>
      <c r="AX64" s="9">
        <v>0.88</v>
      </c>
    </row>
    <row r="65" spans="16:51" x14ac:dyDescent="0.2">
      <c r="P65" s="4" t="s">
        <v>25</v>
      </c>
      <c r="Q65" s="30">
        <f t="shared" si="29"/>
        <v>681923.38671018567</v>
      </c>
      <c r="R65" s="17">
        <f t="shared" si="36"/>
        <v>25031.480460188886</v>
      </c>
      <c r="S65" s="17"/>
      <c r="T65" s="9">
        <v>0.81</v>
      </c>
      <c r="V65" s="25">
        <f t="shared" si="30"/>
        <v>374733.1269997193</v>
      </c>
      <c r="W65" s="11">
        <f t="shared" si="37"/>
        <v>15418.454324519569</v>
      </c>
      <c r="X65" s="11"/>
      <c r="Y65" s="9">
        <v>0.9</v>
      </c>
      <c r="AA65" s="25">
        <f t="shared" si="31"/>
        <v>-15234.447336521736</v>
      </c>
      <c r="AB65" s="11">
        <f t="shared" si="38"/>
        <v>10382.337695659304</v>
      </c>
      <c r="AC65" s="11"/>
      <c r="AD65" s="9">
        <v>0.87</v>
      </c>
      <c r="AF65" s="25">
        <f t="shared" si="32"/>
        <v>586964.76805315667</v>
      </c>
      <c r="AG65" s="11">
        <f t="shared" si="39"/>
        <v>24717.561522759541</v>
      </c>
      <c r="AH65" s="11"/>
      <c r="AI65" s="9">
        <v>0.91</v>
      </c>
      <c r="AK65" s="25">
        <f t="shared" si="33"/>
        <v>1383490.5960384712</v>
      </c>
      <c r="AL65" s="11">
        <f t="shared" si="40"/>
        <v>56439.674032157796</v>
      </c>
      <c r="AN65" s="9">
        <v>0.89</v>
      </c>
      <c r="AP65" s="25">
        <f t="shared" si="34"/>
        <v>468173.47652311722</v>
      </c>
      <c r="AQ65" s="11">
        <f t="shared" si="41"/>
        <v>14110.688590961807</v>
      </c>
      <c r="AS65" s="9">
        <v>0.74</v>
      </c>
      <c r="AU65" s="25">
        <f t="shared" si="35"/>
        <v>332759.17841516028</v>
      </c>
      <c r="AV65" s="11">
        <f t="shared" si="42"/>
        <v>18281.349506208793</v>
      </c>
      <c r="AW65" s="11"/>
      <c r="AX65" s="9">
        <v>0.89</v>
      </c>
    </row>
    <row r="66" spans="16:51" x14ac:dyDescent="0.2">
      <c r="P66" s="4" t="s">
        <v>26</v>
      </c>
      <c r="Q66" s="30">
        <f t="shared" si="29"/>
        <v>706954.86717037461</v>
      </c>
      <c r="R66" s="17">
        <f t="shared" si="36"/>
        <v>25031.480460188886</v>
      </c>
      <c r="S66" s="17"/>
      <c r="T66" s="9">
        <v>1</v>
      </c>
      <c r="V66" s="25">
        <f t="shared" si="30"/>
        <v>390151.58132423885</v>
      </c>
      <c r="W66" s="11">
        <f t="shared" si="37"/>
        <v>15418.454324519569</v>
      </c>
      <c r="X66" s="11"/>
      <c r="Y66" s="9">
        <v>1</v>
      </c>
      <c r="AA66" s="25">
        <f t="shared" si="31"/>
        <v>-5890.3434104283624</v>
      </c>
      <c r="AB66" s="11">
        <f t="shared" si="38"/>
        <v>9344.103926093374</v>
      </c>
      <c r="AC66" s="11"/>
      <c r="AD66" s="9">
        <v>0.9</v>
      </c>
      <c r="AF66" s="25">
        <f t="shared" si="32"/>
        <v>609457.74903886789</v>
      </c>
      <c r="AG66" s="11">
        <f t="shared" si="39"/>
        <v>22492.980985711183</v>
      </c>
      <c r="AH66" s="11"/>
      <c r="AI66" s="9">
        <v>0.91</v>
      </c>
      <c r="AK66" s="25">
        <f t="shared" si="33"/>
        <v>1435979.492888378</v>
      </c>
      <c r="AL66" s="11">
        <f t="shared" si="40"/>
        <v>52488.896849906756</v>
      </c>
      <c r="AN66" s="9">
        <v>0.93</v>
      </c>
      <c r="AP66" s="25">
        <f t="shared" si="34"/>
        <v>479603.13428179629</v>
      </c>
      <c r="AQ66" s="11">
        <f t="shared" si="41"/>
        <v>11429.657758679065</v>
      </c>
      <c r="AS66" s="9">
        <v>0.81</v>
      </c>
      <c r="AU66" s="25">
        <f t="shared" si="35"/>
        <v>350309.27394112071</v>
      </c>
      <c r="AV66" s="11">
        <f t="shared" si="42"/>
        <v>17550.095525960442</v>
      </c>
      <c r="AW66" s="11"/>
      <c r="AX66" s="9">
        <v>0.96</v>
      </c>
    </row>
    <row r="67" spans="16:51" s="14" customFormat="1" x14ac:dyDescent="0.2">
      <c r="P67" s="14" t="s">
        <v>27</v>
      </c>
      <c r="R67" s="18">
        <f>SUM(R57:R66)</f>
        <v>1006954.8671703746</v>
      </c>
      <c r="S67" s="18"/>
      <c r="U67" s="24"/>
      <c r="V67" s="31"/>
      <c r="W67" s="15">
        <f>SUM(W57:W66)</f>
        <v>690151.58132423891</v>
      </c>
      <c r="X67" s="15"/>
      <c r="Z67" s="24"/>
      <c r="AA67" s="31"/>
      <c r="AB67" s="15">
        <f>SUM(AB57:AB66)</f>
        <v>580364.62278391025</v>
      </c>
      <c r="AC67" s="15"/>
      <c r="AE67" s="24"/>
      <c r="AF67" s="31"/>
      <c r="AG67" s="15">
        <f>SUM(AG57:AG66)</f>
        <v>909457.74903886777</v>
      </c>
      <c r="AH67" s="15"/>
      <c r="AJ67" s="24"/>
      <c r="AK67" s="31"/>
      <c r="AL67" s="15">
        <f>SUM(AL57:AL66)</f>
        <v>1735979.4928883777</v>
      </c>
      <c r="AM67" s="28"/>
      <c r="AO67" s="24"/>
      <c r="AP67" s="31"/>
      <c r="AQ67" s="15">
        <f>SUM(AQ57:AQ66)</f>
        <v>779603.13428179617</v>
      </c>
      <c r="AR67" s="29"/>
      <c r="AT67" s="24"/>
      <c r="AU67" s="31"/>
      <c r="AV67" s="15">
        <f>SUM(AV57:AV66)</f>
        <v>650309.2739411206</v>
      </c>
      <c r="AW67" s="15"/>
      <c r="AY67" s="24"/>
    </row>
    <row r="68" spans="16:51" x14ac:dyDescent="0.2">
      <c r="P68" s="4"/>
      <c r="Q68" s="4"/>
      <c r="R68" s="17"/>
      <c r="S68" s="17"/>
      <c r="V68" s="25"/>
      <c r="AA68" s="25"/>
      <c r="AF68" s="25"/>
      <c r="AK68" s="25"/>
      <c r="AP68" s="25"/>
      <c r="AU68" s="25"/>
    </row>
    <row r="69" spans="16:51" x14ac:dyDescent="0.2">
      <c r="P69" s="4"/>
      <c r="Q69" s="4"/>
      <c r="R69" s="10"/>
      <c r="S69" s="10"/>
      <c r="V69" s="25"/>
      <c r="AA69" s="25"/>
      <c r="AF69" s="25"/>
      <c r="AK69" s="25"/>
      <c r="AP69" s="25"/>
      <c r="AU69" s="25"/>
    </row>
    <row r="73" spans="16:51" x14ac:dyDescent="0.2">
      <c r="P73" s="4"/>
      <c r="Q73" s="4"/>
      <c r="V73" s="25"/>
      <c r="AA73" s="25"/>
      <c r="AF73" s="25"/>
      <c r="AK73" s="25"/>
      <c r="AP73" s="25"/>
      <c r="AU73" s="25"/>
    </row>
    <row r="77" spans="16:51" x14ac:dyDescent="0.2">
      <c r="P77" s="4"/>
      <c r="Q77" s="4"/>
      <c r="V77" s="25"/>
      <c r="AA77" s="25"/>
      <c r="AF77" s="25"/>
      <c r="AK77" s="25"/>
      <c r="AP77" s="25"/>
      <c r="AU77" s="25"/>
    </row>
  </sheetData>
  <mergeCells count="7">
    <mergeCell ref="AQ1:AS1"/>
    <mergeCell ref="AV1:AX1"/>
    <mergeCell ref="R1:T1"/>
    <mergeCell ref="W1:Y1"/>
    <mergeCell ref="AB1:AD1"/>
    <mergeCell ref="AG1:AI1"/>
    <mergeCell ref="AL1:AN1"/>
  </mergeCells>
  <phoneticPr fontId="2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Roca</dc:creator>
  <cp:lastModifiedBy>Gio Roca</cp:lastModifiedBy>
  <dcterms:created xsi:type="dcterms:W3CDTF">2025-10-29T16:14:41Z</dcterms:created>
  <dcterms:modified xsi:type="dcterms:W3CDTF">2025-11-24T16:55:35Z</dcterms:modified>
</cp:coreProperties>
</file>